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Night Shift Master Bundles" sheetId="2" state="visible" r:id="rId4"/>
    <sheet name="SumTracker Upload" sheetId="3" state="visible" r:id="rId5"/>
    <sheet name="Price Worksheet" sheetId="4" state="visible" r:id="rId6"/>
    <sheet name="New Components" sheetId="5" state="visible" r:id="rId7"/>
    <sheet name="Open Flag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Assumption: 60% product margin as a starting point. Change per basket.</t>
        </r>
      </text>
    </comment>
    <comment ref="H2" authorId="0">
      <text>
        <r>
          <rPr>
            <sz val="10"/>
            <rFont val="Arial"/>
            <family val="2"/>
          </rPr>
          <t xml:space="preserve">Enter the retail price you want. Margin updates. Known cost excludes shipping, adult signature, and payment fees.</t>
        </r>
      </text>
    </comment>
  </commentList>
</comments>
</file>

<file path=xl/sharedStrings.xml><?xml version="1.0" encoding="utf-8"?>
<sst xmlns="http://schemas.openxmlformats.org/spreadsheetml/2006/main" count="1812" uniqueCount="204">
  <si>
    <t xml:space="preserve">Night Shift Gift Co. — Master Bundles (built 2026-09-16, same layout as bounty_MASTER_bundles)</t>
  </si>
  <si>
    <t xml:space="preserve">Tabs</t>
  </si>
  <si>
    <t xml:space="preserve">  Night Shift Master Bundles — one row per component per basket. Unit cost pulls from the component list; line total is a formula.</t>
  </si>
  <si>
    <t xml:space="preserve">  SumTracker Upload — Parent sku, component_sku, quantity. Upload only once every NEW and placeholder SKU exists in SumTracker.</t>
  </si>
  <si>
    <t xml:space="preserve">  New Components — SKUs that do not exist yet. Fill the yellow Unit Cost column once sourced; costs flow into every basket.</t>
  </si>
  <si>
    <t xml:space="preserve">  Price Worksheet — cost roll-up per basket. Fill the yellow Target Margin and Your Price cells.</t>
  </si>
  <si>
    <t xml:space="preserve">  Open Flags — decisions needed before upload.</t>
  </si>
  <si>
    <t xml:space="preserve">Colors: yellow fill = you fill in. Blue text = hardcoded input (costs copied from bounty_MASTER_bundles_4 or Shopify variant cost). Black = formula.</t>
  </si>
  <si>
    <t xml:space="preserve">Sources: existing component names/costs from 'bounty_MASTER_bundles_4 - Sept 2026' (Google Drive). Lil &amp; Mil costs from the Shopify variant cost field (Matrixify export 2026-09-15).</t>
  </si>
  <si>
    <t xml:space="preserve">Parent SKUs match the draft products in catalog/matrixify_baskets_*.csv. -ALC rows are the alcohol variants.</t>
  </si>
  <si>
    <t xml:space="preserve">Parent Name</t>
  </si>
  <si>
    <t xml:space="preserve">Parent sku</t>
  </si>
  <si>
    <t xml:space="preserve">Variant</t>
  </si>
  <si>
    <t xml:space="preserve">Component Name</t>
  </si>
  <si>
    <t xml:space="preserve">component_sku</t>
  </si>
  <si>
    <t xml:space="preserve">quantity</t>
  </si>
  <si>
    <t xml:space="preserve">Unit Cost ($)</t>
  </si>
  <si>
    <t xml:space="preserve">Line Total ($)</t>
  </si>
  <si>
    <t xml:space="preserve">Status</t>
  </si>
  <si>
    <t xml:space="preserve">Midnight Toast — Push Present Gift Set</t>
  </si>
  <si>
    <t xml:space="preserve">NS-001</t>
  </si>
  <si>
    <t xml:space="preserve">Booze-free</t>
  </si>
  <si>
    <t xml:space="preserve">Fre Sparkling Brut Alcohol Removed</t>
  </si>
  <si>
    <t xml:space="preserve">AL-302</t>
  </si>
  <si>
    <t xml:space="preserve">Existing</t>
  </si>
  <si>
    <t xml:space="preserve">Champagne flute (engravable)</t>
  </si>
  <si>
    <t xml:space="preserve">ACC-NS-FLUTE</t>
  </si>
  <si>
    <t xml:space="preserve">NEW - create SKU</t>
  </si>
  <si>
    <t xml:space="preserve">Ghirardelli Dark Chocolate Bars</t>
  </si>
  <si>
    <t xml:space="preserve">FD-041</t>
  </si>
  <si>
    <t xml:space="preserve">Silk sleep mask</t>
  </si>
  <si>
    <t xml:space="preserve">ACC-NS-MASK</t>
  </si>
  <si>
    <t xml:space="preserve">The Stroller Saver - Stroller Safety Leash</t>
  </si>
  <si>
    <t xml:space="preserve">SA-003</t>
  </si>
  <si>
    <t xml:space="preserve">Lil &amp; Mil</t>
  </si>
  <si>
    <t xml:space="preserve">Night Shift gift box (kraft, midnight lid)</t>
  </si>
  <si>
    <t xml:space="preserve">PKG-NS-BOX</t>
  </si>
  <si>
    <t xml:space="preserve">Lamplight gold tissue paper</t>
  </si>
  <si>
    <t xml:space="preserve">PKG-NS-TISSUE</t>
  </si>
  <si>
    <t xml:space="preserve">Night Shift moon card</t>
  </si>
  <si>
    <t xml:space="preserve">PKG-NS-CARD</t>
  </si>
  <si>
    <t xml:space="preserve">Krinkle Cut Fill</t>
  </si>
  <si>
    <t xml:space="preserve">PKG-059</t>
  </si>
  <si>
    <t xml:space="preserve">Small Backer Board</t>
  </si>
  <si>
    <t xml:space="preserve">PKG-005</t>
  </si>
  <si>
    <t xml:space="preserve">Small Shrink Wrap Bags</t>
  </si>
  <si>
    <t xml:space="preserve">PKG-073</t>
  </si>
  <si>
    <t xml:space="preserve">NS-001-ALC</t>
  </si>
  <si>
    <t xml:space="preserve">With sparkling wine</t>
  </si>
  <si>
    <t xml:space="preserve">Mumm Sparkling Brut Prestige 750ml</t>
  </si>
  <si>
    <t xml:space="preserve">WINE-013</t>
  </si>
  <si>
    <t xml:space="preserve">Off the Clock — Gifts for New Moms (Not for the Baby)</t>
  </si>
  <si>
    <t xml:space="preserve">NS-002</t>
  </si>
  <si>
    <t xml:space="preserve">Flower Market Rose Bath Bomb</t>
  </si>
  <si>
    <t xml:space="preserve">ACC-201</t>
  </si>
  <si>
    <t xml:space="preserve">Biodance Bio-Collagen Facemask</t>
  </si>
  <si>
    <t xml:space="preserve">ACC-203</t>
  </si>
  <si>
    <t xml:space="preserve">Ferrero Rocher 3pc</t>
  </si>
  <si>
    <t xml:space="preserve">FD-034</t>
  </si>
  <si>
    <t xml:space="preserve">Cozy socks</t>
  </si>
  <si>
    <t xml:space="preserve">ACC-NS-SOCKS</t>
  </si>
  <si>
    <t xml:space="preserve">Soy Wax Candle — Lavender Fields</t>
  </si>
  <si>
    <t xml:space="preserve">ACC-SPA-04</t>
  </si>
  <si>
    <t xml:space="preserve">NS-002-ALC</t>
  </si>
  <si>
    <t xml:space="preserve">With wine</t>
  </si>
  <si>
    <t xml:space="preserve">Seaglass Pinot Noir</t>
  </si>
  <si>
    <t xml:space="preserve">WINE-001</t>
  </si>
  <si>
    <t xml:space="preserve">Recovery Shift — Postpartum Care Package</t>
  </si>
  <si>
    <t xml:space="preserve">NS-003</t>
  </si>
  <si>
    <t xml:space="preserve">Default</t>
  </si>
  <si>
    <t xml:space="preserve">Soft throw or robe</t>
  </si>
  <si>
    <t xml:space="preserve">ACC-NS-ROBE</t>
  </si>
  <si>
    <t xml:space="preserve">Lip balm</t>
  </si>
  <si>
    <t xml:space="preserve">ACC-NS-LIPBALM</t>
  </si>
  <si>
    <t xml:space="preserve">Dry shampoo</t>
  </si>
  <si>
    <t xml:space="preserve">ACC-NS-DRYSHAMPOO</t>
  </si>
  <si>
    <t xml:space="preserve">Insulated tumbler</t>
  </si>
  <si>
    <t xml:space="preserve">ACC-NS-TUMBLER</t>
  </si>
  <si>
    <t xml:space="preserve">Marich Sea Salt Almonds</t>
  </si>
  <si>
    <t xml:space="preserve">FD-119</t>
  </si>
  <si>
    <t xml:space="preserve">Nonni's Almond Dark Chocolate Biscoti</t>
  </si>
  <si>
    <t xml:space="preserve">FD-071</t>
  </si>
  <si>
    <t xml:space="preserve">Night Shift gift box, large (fits Tot Tote)</t>
  </si>
  <si>
    <t xml:space="preserve">PKG-NS-BOX-L</t>
  </si>
  <si>
    <t xml:space="preserve">Large Backer Boards</t>
  </si>
  <si>
    <t xml:space="preserve">PKG-002</t>
  </si>
  <si>
    <t xml:space="preserve">medium Shrink Wrap Bags</t>
  </si>
  <si>
    <t xml:space="preserve">PKG-063</t>
  </si>
  <si>
    <t xml:space="preserve">The 3AM Feed — New Mom Gift Basket</t>
  </si>
  <si>
    <t xml:space="preserve">NS-004</t>
  </si>
  <si>
    <t xml:space="preserve">Popcornopolis Gourmet Flavored Popcorn</t>
  </si>
  <si>
    <t xml:space="preserve">FD-077</t>
  </si>
  <si>
    <t xml:space="preserve">Lactation cookies</t>
  </si>
  <si>
    <t xml:space="preserve">FD-NS-LACTATION</t>
  </si>
  <si>
    <t xml:space="preserve">Portable night-light</t>
  </si>
  <si>
    <t xml:space="preserve">ACC-NS-NIGHTLIGHT</t>
  </si>
  <si>
    <t xml:space="preserve">Stroller Clips for Bags - 2 Pack</t>
  </si>
  <si>
    <t xml:space="preserve">SA-002</t>
  </si>
  <si>
    <t xml:space="preserve">Before the Night Shift — Mom-to-Be Gift Box</t>
  </si>
  <si>
    <t xml:space="preserve">NS-005</t>
  </si>
  <si>
    <t xml:space="preserve">Belly butter</t>
  </si>
  <si>
    <t xml:space="preserve">ACC-NS-BELLYBUTTER</t>
  </si>
  <si>
    <t xml:space="preserve">Zero-proof mocktail kit</t>
  </si>
  <si>
    <t xml:space="preserve">MXR-NS-MOCKTAIL</t>
  </si>
  <si>
    <t xml:space="preserve">Tot Tote Stroller Organizer and Crossbody Diaper Bag</t>
  </si>
  <si>
    <t xml:space="preserve">SA-005</t>
  </si>
  <si>
    <t xml:space="preserve">Graveyard Shift Survival Kit — New Dad Gift</t>
  </si>
  <si>
    <t xml:space="preserve">NS-006</t>
  </si>
  <si>
    <t xml:space="preserve">Country Archer Original Beef Jerky</t>
  </si>
  <si>
    <t xml:space="preserve">FD-026</t>
  </si>
  <si>
    <t xml:space="preserve">Craft root beer 12oz</t>
  </si>
  <si>
    <t xml:space="preserve">MXR-NS-ROOTBEER</t>
  </si>
  <si>
    <t xml:space="preserve">Car Seat Travel Belt for Luggage</t>
  </si>
  <si>
    <t xml:space="preserve">TA-001</t>
  </si>
  <si>
    <t xml:space="preserve">NS-006-ALC</t>
  </si>
  <si>
    <t xml:space="preserve">With craft beer</t>
  </si>
  <si>
    <t xml:space="preserve">Craft beer (pick Brew Hunters SKU)</t>
  </si>
  <si>
    <t xml:space="preserve">BEER-TBD</t>
  </si>
  <si>
    <t xml:space="preserve">Nightcap — First-Time Dad Gift</t>
  </si>
  <si>
    <t xml:space="preserve">NS-007</t>
  </si>
  <si>
    <t xml:space="preserve">Santa Barbara Roasting Co Coffee</t>
  </si>
  <si>
    <t xml:space="preserve">FD-086</t>
  </si>
  <si>
    <t xml:space="preserve">Rocks Glass</t>
  </si>
  <si>
    <t xml:space="preserve">ACC-025</t>
  </si>
  <si>
    <t xml:space="preserve">NS-007-ALC</t>
  </si>
  <si>
    <t xml:space="preserve">With whiskey</t>
  </si>
  <si>
    <t xml:space="preserve">Whiskey (pick BroBasket SKU)</t>
  </si>
  <si>
    <t xml:space="preserve">AL-TBD-WHISKEY</t>
  </si>
  <si>
    <t xml:space="preserve">Night Shift Dad — Diaper Duty Gift Pack</t>
  </si>
  <si>
    <t xml:space="preserve">NS-008</t>
  </si>
  <si>
    <t xml:space="preserve">Caribbean Coffee</t>
  </si>
  <si>
    <t xml:space="preserve">FD-005</t>
  </si>
  <si>
    <t xml:space="preserve">Packs of Snyder’s Pretzels</t>
  </si>
  <si>
    <t xml:space="preserve">FD-081</t>
  </si>
  <si>
    <t xml:space="preserve">Lights Out Date Night — New Parents Gift Basket</t>
  </si>
  <si>
    <t xml:space="preserve">NS-009</t>
  </si>
  <si>
    <t xml:space="preserve">Wine Glass</t>
  </si>
  <si>
    <t xml:space="preserve">ACC-033</t>
  </si>
  <si>
    <t xml:space="preserve">Marich Dark Chocolate Blueberries</t>
  </si>
  <si>
    <t xml:space="preserve">FD-062</t>
  </si>
  <si>
    <t xml:space="preserve">Marich Milk Chocolate English Toffee Caramels</t>
  </si>
  <si>
    <t xml:space="preserve">FD-065</t>
  </si>
  <si>
    <t xml:space="preserve">Card / Mini Game Set</t>
  </si>
  <si>
    <t xml:space="preserve">ACC-GAME-CARDS</t>
  </si>
  <si>
    <t xml:space="preserve">Placeholder - not in SumTracker</t>
  </si>
  <si>
    <t xml:space="preserve">NS-009-ALC</t>
  </si>
  <si>
    <t xml:space="preserve">Wine Opener</t>
  </si>
  <si>
    <t xml:space="preserve">ACC-034</t>
  </si>
  <si>
    <t xml:space="preserve">The Morning After — New Parents Coffee Gift Box</t>
  </si>
  <si>
    <t xml:space="preserve">NS-010</t>
  </si>
  <si>
    <t xml:space="preserve">Ceramic Mug Pair</t>
  </si>
  <si>
    <t xml:space="preserve">ACC-MUG-PAIR</t>
  </si>
  <si>
    <t xml:space="preserve">Clock-In Kit — Baby Shower Gift Basket</t>
  </si>
  <si>
    <t xml:space="preserve">NS-011</t>
  </si>
  <si>
    <t xml:space="preserve">Midnight Snack — Baby's First Feeding Set</t>
  </si>
  <si>
    <t xml:space="preserve">NS-012</t>
  </si>
  <si>
    <t xml:space="preserve">Baby &amp; Toddler Silicone Plates Set of 2 - Black</t>
  </si>
  <si>
    <t xml:space="preserve">1010</t>
  </si>
  <si>
    <t xml:space="preserve">Silicone Baby &amp; Toddler Cup - Black</t>
  </si>
  <si>
    <t xml:space="preserve">2000</t>
  </si>
  <si>
    <t xml:space="preserve">Baby bibs (2pk)</t>
  </si>
  <si>
    <t xml:space="preserve">ACC-NS-BIBS</t>
  </si>
  <si>
    <t xml:space="preserve">Baby board book</t>
  </si>
  <si>
    <t xml:space="preserve">ACC-NS-BOARDBOOK</t>
  </si>
  <si>
    <t xml:space="preserve">Double Shift — Mom &amp; Baby Gift Set</t>
  </si>
  <si>
    <t xml:space="preserve">NS-013</t>
  </si>
  <si>
    <t xml:space="preserve">Known Cost ($)</t>
  </si>
  <si>
    <t xml:space="preserve">Components Missing Cost</t>
  </si>
  <si>
    <t xml:space="preserve">Target Margin</t>
  </si>
  <si>
    <t xml:space="preserve">Suggested Price ($)</t>
  </si>
  <si>
    <t xml:space="preserve">Your Price ($)</t>
  </si>
  <si>
    <t xml:space="preserve">Margin at Your Price</t>
  </si>
  <si>
    <t xml:space="preserve">Used in (parent skus)</t>
  </si>
  <si>
    <t xml:space="preserve">Supplier / notes</t>
  </si>
  <si>
    <t xml:space="preserve">NS-009, NS-009-ALC</t>
  </si>
  <si>
    <t xml:space="preserve">Placeholder SKU already listed in Bounty sheet but not in SumTracker</t>
  </si>
  <si>
    <t xml:space="preserve">NS-001, NS-001-ALC</t>
  </si>
  <si>
    <t xml:space="preserve">NS-002, NS-002-ALC, NS-005</t>
  </si>
  <si>
    <t xml:space="preserve">NS-003, NS-004</t>
  </si>
  <si>
    <t xml:space="preserve">NS-001, NS-001-ALC, NS-002, NS-002-ALC, NS-004, NS-007, NS-007-ALC, NS-009, NS-009-ALC, NS-010, NS-012, NS-013</t>
  </si>
  <si>
    <t xml:space="preserve">NS-003, NS-005, NS-006, NS-006-ALC, NS-008, NS-011</t>
  </si>
  <si>
    <t xml:space="preserve">NS-001, NS-001-ALC, NS-002, NS-002-ALC, NS-003, NS-004, NS-005, NS-006, NS-006-ALC, NS-007, NS-007-ALC, NS-008, NS-009, NS-009-ALC, NS-010, NS-011, NS-012, NS-013</t>
  </si>
  <si>
    <t xml:space="preserve">Check</t>
  </si>
  <si>
    <t xml:space="preserve">Detail</t>
  </si>
  <si>
    <t xml:space="preserve">Lil &amp; Mil SKUs in SumTracker</t>
  </si>
  <si>
    <t xml:space="preserve">SA-003, SA-002, SA-005, TA-001, 2000, 1010 are on the Night Shift store. Confirm they exist in SumTracker with correct stock (leash ~1,500, clips &lt;500 pairs, tote 800, belt &lt;500) before uploading recipes.</t>
  </si>
  <si>
    <t xml:space="preserve">Night Shift packaging</t>
  </si>
  <si>
    <t xml:space="preserve">PKG-NS-BOX / BOX-L / TISSUE / CARD are new. The large box has to fit the Tot Tote. Krinkle fill, backer boards and shrink wrap reuse Bounty/BroBasket SKUs.</t>
  </si>
  <si>
    <t xml:space="preserve">Alcohol variants (-ALC)</t>
  </si>
  <si>
    <t xml:space="preserve">Only upload -ALC recipes once it is decided which store sells alcohol baskets. BEER-TBD and AL-TBD-WHISKEY need real SKUs from Brew Hunters / BroBasket.</t>
  </si>
  <si>
    <t xml:space="preserve">NS-001 variant label</t>
  </si>
  <si>
    <t xml:space="preserve">Changed from "With champagne" to "With sparkling wine" to match WINE-013 Mumm Brut Prestige ($16.78). Moet (WINE-002) is $54.83 if you want real champagne.</t>
  </si>
  <si>
    <t xml:space="preserve">Zero-proof sparkling</t>
  </si>
  <si>
    <t xml:space="preserve">Uses AL-302 Fre Sparkling Brut Alcohol Removed (existing SKU, $9.00) in NS-001 and NS-009.</t>
  </si>
  <si>
    <t xml:space="preserve">Pregnancy-safe items (NS-005)</t>
  </si>
  <si>
    <t xml:space="preserve">ACC-203 Biodance face mask is in the Mom-to-Be box. Confirm it is suitable in pregnancy; bath bomb was left out on purpose.</t>
  </si>
  <si>
    <t xml:space="preserve">Engraving</t>
  </si>
  <si>
    <t xml:space="preserve">NS-001 flute and NS-007 rocks glass are listed as engravable. This store has no engraving add-on yet — either port bb-product-addons or drop "engraved" from the copy.</t>
  </si>
  <si>
    <t xml:space="preserve">Cup and plate colors</t>
  </si>
  <si>
    <t xml:space="preserve">Recipes use Black (2000 cup, 1010 plates) because those are in stock. Only ~39 plate sets remain, so NS-012 will run out first.</t>
  </si>
  <si>
    <t xml:space="preserve">Bounty placeholders reused</t>
  </si>
  <si>
    <t xml:space="preserve">ACC-GAME-CARDS (NS-009) and ACC-MUG-PAIR (NS-010) are listed in the Bounty sheet but not in SumTracker.</t>
  </si>
  <si>
    <t xml:space="preserve">Jerky</t>
  </si>
  <si>
    <t xml:space="preserve">Uses FD-026 Country Archer Original instead of the Carnivore Candy "Tequila" jerky, to keep alcohol names off a baby-gift store.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</si>
</sst>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48"/>
    <col collapsed="false" customWidth="true" hidden="false" outlineLevel="0" max="5" min="5" style="0" width="20"/>
    <col collapsed="false" customWidth="true" hidden="false" outlineLevel="0" max="6" min="6" style="0" width="9"/>
    <col collapsed="false" customWidth="true" hidden="false" outlineLevel="0" max="8" min="7" style="0" width="13"/>
    <col collapsed="false" customWidth="true" hidden="false" outlineLevel="0" max="9" min="9" style="0" width="30"/>
  </cols>
  <sheetData>
    <row r="1" customFormat="false" ht="15" hidden="false" customHeight="false" outlineLevel="0" collapsed="false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</row>
    <row r="2" customFormat="false" ht="15" hidden="false" customHeight="false" outlineLevel="0" collapsed="false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4" t="n">
        <v>1</v>
      </c>
      <c r="G2" s="5" t="n">
        <v>9</v>
      </c>
      <c r="H2" s="6" t="n">
        <f aca="false">IF(G2="","",F2*G2)</f>
        <v>9</v>
      </c>
      <c r="I2" s="2" t="s">
        <v>24</v>
      </c>
    </row>
    <row r="3" customFormat="false" ht="15" hidden="false" customHeight="false" outlineLevel="0" collapsed="false">
      <c r="A3" s="2" t="s">
        <v>19</v>
      </c>
      <c r="B3" s="2" t="s">
        <v>20</v>
      </c>
      <c r="C3" s="2" t="s">
        <v>21</v>
      </c>
      <c r="D3" s="2" t="s">
        <v>25</v>
      </c>
      <c r="E3" s="2" t="s">
        <v>26</v>
      </c>
      <c r="F3" s="4" t="n">
        <v>1</v>
      </c>
      <c r="G3" s="6" t="str">
        <f aca="false">IFERROR(IF(INDEX('New Components'!$D$2:$D$23,MATCH(E3,'New Components'!$A$2:$A$23,0))="","",INDEX('New Components'!$D$2:$D$23,MATCH(E3,'New Components'!$A$2:$A$23,0))),"")</f>
        <v/>
      </c>
      <c r="H3" s="6" t="str">
        <f aca="false">IF(G3="","",F3*G3)</f>
        <v/>
      </c>
      <c r="I3" s="2" t="s">
        <v>27</v>
      </c>
    </row>
    <row r="4" customFormat="false" ht="15" hidden="false" customHeight="false" outlineLevel="0" collapsed="false">
      <c r="A4" s="2" t="s">
        <v>19</v>
      </c>
      <c r="B4" s="2" t="s">
        <v>20</v>
      </c>
      <c r="C4" s="2" t="s">
        <v>21</v>
      </c>
      <c r="D4" s="2" t="s">
        <v>28</v>
      </c>
      <c r="E4" s="2" t="s">
        <v>29</v>
      </c>
      <c r="F4" s="4" t="n">
        <v>1</v>
      </c>
      <c r="G4" s="5" t="n">
        <v>3</v>
      </c>
      <c r="H4" s="6" t="n">
        <f aca="false">IF(G4="","",F4*G4)</f>
        <v>3</v>
      </c>
      <c r="I4" s="2" t="s">
        <v>24</v>
      </c>
    </row>
    <row r="5" customFormat="false" ht="15" hidden="false" customHeight="false" outlineLevel="0" collapsed="false">
      <c r="A5" s="2" t="s">
        <v>19</v>
      </c>
      <c r="B5" s="2" t="s">
        <v>20</v>
      </c>
      <c r="C5" s="2" t="s">
        <v>21</v>
      </c>
      <c r="D5" s="2" t="s">
        <v>30</v>
      </c>
      <c r="E5" s="2" t="s">
        <v>31</v>
      </c>
      <c r="F5" s="4" t="n">
        <v>1</v>
      </c>
      <c r="G5" s="6" t="str">
        <f aca="false">IFERROR(IF(INDEX('New Components'!$D$2:$D$23,MATCH(E5,'New Components'!$A$2:$A$23,0))="","",INDEX('New Components'!$D$2:$D$23,MATCH(E5,'New Components'!$A$2:$A$23,0))),"")</f>
        <v/>
      </c>
      <c r="H5" s="6" t="str">
        <f aca="false">IF(G5="","",F5*G5)</f>
        <v/>
      </c>
      <c r="I5" s="2" t="s">
        <v>27</v>
      </c>
    </row>
    <row r="6" customFormat="false" ht="15" hidden="false" customHeight="false" outlineLevel="0" collapsed="false">
      <c r="A6" s="2" t="s">
        <v>19</v>
      </c>
      <c r="B6" s="2" t="s">
        <v>20</v>
      </c>
      <c r="C6" s="2" t="s">
        <v>21</v>
      </c>
      <c r="D6" s="2" t="s">
        <v>32</v>
      </c>
      <c r="E6" s="2" t="s">
        <v>33</v>
      </c>
      <c r="F6" s="4" t="n">
        <v>1</v>
      </c>
      <c r="G6" s="5" t="n">
        <v>4</v>
      </c>
      <c r="H6" s="6" t="n">
        <f aca="false">IF(G6="","",F6*G6)</f>
        <v>4</v>
      </c>
      <c r="I6" s="2" t="s">
        <v>34</v>
      </c>
    </row>
    <row r="7" customFormat="false" ht="15" hidden="false" customHeight="false" outlineLevel="0" collapsed="false">
      <c r="A7" s="2" t="s">
        <v>19</v>
      </c>
      <c r="B7" s="2" t="s">
        <v>20</v>
      </c>
      <c r="C7" s="2" t="s">
        <v>21</v>
      </c>
      <c r="D7" s="2" t="s">
        <v>35</v>
      </c>
      <c r="E7" s="2" t="s">
        <v>36</v>
      </c>
      <c r="F7" s="4" t="n">
        <v>1</v>
      </c>
      <c r="G7" s="6" t="str">
        <f aca="false">IFERROR(IF(INDEX('New Components'!$D$2:$D$23,MATCH(E7,'New Components'!$A$2:$A$23,0))="","",INDEX('New Components'!$D$2:$D$23,MATCH(E7,'New Components'!$A$2:$A$23,0))),"")</f>
        <v/>
      </c>
      <c r="H7" s="6" t="str">
        <f aca="false">IF(G7="","",F7*G7)</f>
        <v/>
      </c>
      <c r="I7" s="2" t="s">
        <v>27</v>
      </c>
    </row>
    <row r="8" customFormat="false" ht="15" hidden="false" customHeight="false" outlineLevel="0" collapsed="false">
      <c r="A8" s="2" t="s">
        <v>19</v>
      </c>
      <c r="B8" s="2" t="s">
        <v>20</v>
      </c>
      <c r="C8" s="2" t="s">
        <v>21</v>
      </c>
      <c r="D8" s="2" t="s">
        <v>37</v>
      </c>
      <c r="E8" s="2" t="s">
        <v>38</v>
      </c>
      <c r="F8" s="4" t="n">
        <v>1</v>
      </c>
      <c r="G8" s="6" t="str">
        <f aca="false">IFERROR(IF(INDEX('New Components'!$D$2:$D$23,MATCH(E8,'New Components'!$A$2:$A$23,0))="","",INDEX('New Components'!$D$2:$D$23,MATCH(E8,'New Components'!$A$2:$A$23,0))),"")</f>
        <v/>
      </c>
      <c r="H8" s="6" t="str">
        <f aca="false">IF(G8="","",F8*G8)</f>
        <v/>
      </c>
      <c r="I8" s="2" t="s">
        <v>27</v>
      </c>
    </row>
    <row r="9" customFormat="false" ht="15" hidden="false" customHeight="false" outlineLevel="0" collapsed="false">
      <c r="A9" s="2" t="s">
        <v>19</v>
      </c>
      <c r="B9" s="2" t="s">
        <v>20</v>
      </c>
      <c r="C9" s="2" t="s">
        <v>21</v>
      </c>
      <c r="D9" s="2" t="s">
        <v>39</v>
      </c>
      <c r="E9" s="2" t="s">
        <v>40</v>
      </c>
      <c r="F9" s="4" t="n">
        <v>1</v>
      </c>
      <c r="G9" s="6" t="str">
        <f aca="false">IFERROR(IF(INDEX('New Components'!$D$2:$D$23,MATCH(E9,'New Components'!$A$2:$A$23,0))="","",INDEX('New Components'!$D$2:$D$23,MATCH(E9,'New Components'!$A$2:$A$23,0))),"")</f>
        <v/>
      </c>
      <c r="H9" s="6" t="str">
        <f aca="false">IF(G9="","",F9*G9)</f>
        <v/>
      </c>
      <c r="I9" s="2" t="s">
        <v>27</v>
      </c>
    </row>
    <row r="10" customFormat="false" ht="15" hidden="false" customHeight="false" outlineLevel="0" collapsed="false">
      <c r="A10" s="2" t="s">
        <v>19</v>
      </c>
      <c r="B10" s="2" t="s">
        <v>20</v>
      </c>
      <c r="C10" s="2" t="s">
        <v>21</v>
      </c>
      <c r="D10" s="2" t="s">
        <v>41</v>
      </c>
      <c r="E10" s="2" t="s">
        <v>42</v>
      </c>
      <c r="F10" s="4" t="n">
        <v>1</v>
      </c>
      <c r="G10" s="5" t="n">
        <v>0.5</v>
      </c>
      <c r="H10" s="6" t="n">
        <f aca="false">IF(G10="","",F10*G10)</f>
        <v>0.5</v>
      </c>
      <c r="I10" s="2" t="s">
        <v>24</v>
      </c>
    </row>
    <row r="11" customFormat="false" ht="15" hidden="false" customHeight="false" outlineLevel="0" collapsed="false">
      <c r="A11" s="2" t="s">
        <v>19</v>
      </c>
      <c r="B11" s="2" t="s">
        <v>20</v>
      </c>
      <c r="C11" s="2" t="s">
        <v>21</v>
      </c>
      <c r="D11" s="2" t="s">
        <v>43</v>
      </c>
      <c r="E11" s="2" t="s">
        <v>44</v>
      </c>
      <c r="F11" s="4" t="n">
        <v>1</v>
      </c>
      <c r="G11" s="5" t="n">
        <v>0.25</v>
      </c>
      <c r="H11" s="6" t="n">
        <f aca="false">IF(G11="","",F11*G11)</f>
        <v>0.25</v>
      </c>
      <c r="I11" s="2" t="s">
        <v>24</v>
      </c>
    </row>
    <row r="12" customFormat="false" ht="15" hidden="false" customHeight="false" outlineLevel="0" collapsed="false">
      <c r="A12" s="2" t="s">
        <v>19</v>
      </c>
      <c r="B12" s="2" t="s">
        <v>20</v>
      </c>
      <c r="C12" s="2" t="s">
        <v>21</v>
      </c>
      <c r="D12" s="2" t="s">
        <v>45</v>
      </c>
      <c r="E12" s="2" t="s">
        <v>46</v>
      </c>
      <c r="F12" s="4" t="n">
        <v>1</v>
      </c>
      <c r="G12" s="5" t="n">
        <v>0.33</v>
      </c>
      <c r="H12" s="6" t="n">
        <f aca="false">IF(G12="","",F12*G12)</f>
        <v>0.33</v>
      </c>
      <c r="I12" s="2" t="s">
        <v>24</v>
      </c>
    </row>
    <row r="13" customFormat="false" ht="15" hidden="false" customHeight="false" outlineLevel="0" collapsed="false">
      <c r="A13" s="2" t="s">
        <v>19</v>
      </c>
      <c r="B13" s="2" t="s">
        <v>47</v>
      </c>
      <c r="C13" s="2" t="s">
        <v>48</v>
      </c>
      <c r="D13" s="2" t="s">
        <v>25</v>
      </c>
      <c r="E13" s="2" t="s">
        <v>26</v>
      </c>
      <c r="F13" s="4" t="n">
        <v>1</v>
      </c>
      <c r="G13" s="6" t="str">
        <f aca="false">IFERROR(IF(INDEX('New Components'!$D$2:$D$23,MATCH(E13,'New Components'!$A$2:$A$23,0))="","",INDEX('New Components'!$D$2:$D$23,MATCH(E13,'New Components'!$A$2:$A$23,0))),"")</f>
        <v/>
      </c>
      <c r="H13" s="6" t="str">
        <f aca="false">IF(G13="","",F13*G13)</f>
        <v/>
      </c>
      <c r="I13" s="2" t="s">
        <v>27</v>
      </c>
    </row>
    <row r="14" customFormat="false" ht="15" hidden="false" customHeight="false" outlineLevel="0" collapsed="false">
      <c r="A14" s="2" t="s">
        <v>19</v>
      </c>
      <c r="B14" s="2" t="s">
        <v>47</v>
      </c>
      <c r="C14" s="2" t="s">
        <v>48</v>
      </c>
      <c r="D14" s="2" t="s">
        <v>28</v>
      </c>
      <c r="E14" s="2" t="s">
        <v>29</v>
      </c>
      <c r="F14" s="4" t="n">
        <v>1</v>
      </c>
      <c r="G14" s="5" t="n">
        <v>3</v>
      </c>
      <c r="H14" s="6" t="n">
        <f aca="false">IF(G14="","",F14*G14)</f>
        <v>3</v>
      </c>
      <c r="I14" s="2" t="s">
        <v>24</v>
      </c>
    </row>
    <row r="15" customFormat="false" ht="15" hidden="false" customHeight="false" outlineLevel="0" collapsed="false">
      <c r="A15" s="2" t="s">
        <v>19</v>
      </c>
      <c r="B15" s="2" t="s">
        <v>47</v>
      </c>
      <c r="C15" s="2" t="s">
        <v>48</v>
      </c>
      <c r="D15" s="2" t="s">
        <v>30</v>
      </c>
      <c r="E15" s="2" t="s">
        <v>31</v>
      </c>
      <c r="F15" s="4" t="n">
        <v>1</v>
      </c>
      <c r="G15" s="6" t="str">
        <f aca="false">IFERROR(IF(INDEX('New Components'!$D$2:$D$23,MATCH(E15,'New Components'!$A$2:$A$23,0))="","",INDEX('New Components'!$D$2:$D$23,MATCH(E15,'New Components'!$A$2:$A$23,0))),"")</f>
        <v/>
      </c>
      <c r="H15" s="6" t="str">
        <f aca="false">IF(G15="","",F15*G15)</f>
        <v/>
      </c>
      <c r="I15" s="2" t="s">
        <v>27</v>
      </c>
    </row>
    <row r="16" customFormat="false" ht="15" hidden="false" customHeight="false" outlineLevel="0" collapsed="false">
      <c r="A16" s="2" t="s">
        <v>19</v>
      </c>
      <c r="B16" s="2" t="s">
        <v>47</v>
      </c>
      <c r="C16" s="2" t="s">
        <v>48</v>
      </c>
      <c r="D16" s="2" t="s">
        <v>32</v>
      </c>
      <c r="E16" s="2" t="s">
        <v>33</v>
      </c>
      <c r="F16" s="4" t="n">
        <v>1</v>
      </c>
      <c r="G16" s="5" t="n">
        <v>4</v>
      </c>
      <c r="H16" s="6" t="n">
        <f aca="false">IF(G16="","",F16*G16)</f>
        <v>4</v>
      </c>
      <c r="I16" s="2" t="s">
        <v>34</v>
      </c>
    </row>
    <row r="17" customFormat="false" ht="15" hidden="false" customHeight="false" outlineLevel="0" collapsed="false">
      <c r="A17" s="2" t="s">
        <v>19</v>
      </c>
      <c r="B17" s="2" t="s">
        <v>47</v>
      </c>
      <c r="C17" s="2" t="s">
        <v>48</v>
      </c>
      <c r="D17" s="2" t="s">
        <v>49</v>
      </c>
      <c r="E17" s="2" t="s">
        <v>50</v>
      </c>
      <c r="F17" s="4" t="n">
        <v>1</v>
      </c>
      <c r="G17" s="5" t="n">
        <v>16.78</v>
      </c>
      <c r="H17" s="6" t="n">
        <f aca="false">IF(G17="","",F17*G17)</f>
        <v>16.78</v>
      </c>
      <c r="I17" s="2" t="s">
        <v>24</v>
      </c>
    </row>
    <row r="18" customFormat="false" ht="15" hidden="false" customHeight="false" outlineLevel="0" collapsed="false">
      <c r="A18" s="2" t="s">
        <v>19</v>
      </c>
      <c r="B18" s="2" t="s">
        <v>47</v>
      </c>
      <c r="C18" s="2" t="s">
        <v>48</v>
      </c>
      <c r="D18" s="2" t="s">
        <v>35</v>
      </c>
      <c r="E18" s="2" t="s">
        <v>36</v>
      </c>
      <c r="F18" s="4" t="n">
        <v>1</v>
      </c>
      <c r="G18" s="6" t="str">
        <f aca="false">IFERROR(IF(INDEX('New Components'!$D$2:$D$23,MATCH(E18,'New Components'!$A$2:$A$23,0))="","",INDEX('New Components'!$D$2:$D$23,MATCH(E18,'New Components'!$A$2:$A$23,0))),"")</f>
        <v/>
      </c>
      <c r="H18" s="6" t="str">
        <f aca="false">IF(G18="","",F18*G18)</f>
        <v/>
      </c>
      <c r="I18" s="2" t="s">
        <v>27</v>
      </c>
    </row>
    <row r="19" customFormat="false" ht="15" hidden="false" customHeight="false" outlineLevel="0" collapsed="false">
      <c r="A19" s="2" t="s">
        <v>19</v>
      </c>
      <c r="B19" s="2" t="s">
        <v>47</v>
      </c>
      <c r="C19" s="2" t="s">
        <v>48</v>
      </c>
      <c r="D19" s="2" t="s">
        <v>37</v>
      </c>
      <c r="E19" s="2" t="s">
        <v>38</v>
      </c>
      <c r="F19" s="4" t="n">
        <v>1</v>
      </c>
      <c r="G19" s="6" t="str">
        <f aca="false">IFERROR(IF(INDEX('New Components'!$D$2:$D$23,MATCH(E19,'New Components'!$A$2:$A$23,0))="","",INDEX('New Components'!$D$2:$D$23,MATCH(E19,'New Components'!$A$2:$A$23,0))),"")</f>
        <v/>
      </c>
      <c r="H19" s="6" t="str">
        <f aca="false">IF(G19="","",F19*G19)</f>
        <v/>
      </c>
      <c r="I19" s="2" t="s">
        <v>27</v>
      </c>
    </row>
    <row r="20" customFormat="false" ht="15" hidden="false" customHeight="false" outlineLevel="0" collapsed="false">
      <c r="A20" s="2" t="s">
        <v>19</v>
      </c>
      <c r="B20" s="2" t="s">
        <v>47</v>
      </c>
      <c r="C20" s="2" t="s">
        <v>48</v>
      </c>
      <c r="D20" s="2" t="s">
        <v>39</v>
      </c>
      <c r="E20" s="2" t="s">
        <v>40</v>
      </c>
      <c r="F20" s="4" t="n">
        <v>1</v>
      </c>
      <c r="G20" s="6" t="str">
        <f aca="false">IFERROR(IF(INDEX('New Components'!$D$2:$D$23,MATCH(E20,'New Components'!$A$2:$A$23,0))="","",INDEX('New Components'!$D$2:$D$23,MATCH(E20,'New Components'!$A$2:$A$23,0))),"")</f>
        <v/>
      </c>
      <c r="H20" s="6" t="str">
        <f aca="false">IF(G20="","",F20*G20)</f>
        <v/>
      </c>
      <c r="I20" s="2" t="s">
        <v>27</v>
      </c>
    </row>
    <row r="21" customFormat="false" ht="15" hidden="false" customHeight="false" outlineLevel="0" collapsed="false">
      <c r="A21" s="2" t="s">
        <v>19</v>
      </c>
      <c r="B21" s="2" t="s">
        <v>47</v>
      </c>
      <c r="C21" s="2" t="s">
        <v>48</v>
      </c>
      <c r="D21" s="2" t="s">
        <v>41</v>
      </c>
      <c r="E21" s="2" t="s">
        <v>42</v>
      </c>
      <c r="F21" s="4" t="n">
        <v>1</v>
      </c>
      <c r="G21" s="5" t="n">
        <v>0.5</v>
      </c>
      <c r="H21" s="6" t="n">
        <f aca="false">IF(G21="","",F21*G21)</f>
        <v>0.5</v>
      </c>
      <c r="I21" s="2" t="s">
        <v>24</v>
      </c>
    </row>
    <row r="22" customFormat="false" ht="15" hidden="false" customHeight="false" outlineLevel="0" collapsed="false">
      <c r="A22" s="2" t="s">
        <v>19</v>
      </c>
      <c r="B22" s="2" t="s">
        <v>47</v>
      </c>
      <c r="C22" s="2" t="s">
        <v>48</v>
      </c>
      <c r="D22" s="2" t="s">
        <v>43</v>
      </c>
      <c r="E22" s="2" t="s">
        <v>44</v>
      </c>
      <c r="F22" s="4" t="n">
        <v>1</v>
      </c>
      <c r="G22" s="5" t="n">
        <v>0.25</v>
      </c>
      <c r="H22" s="6" t="n">
        <f aca="false">IF(G22="","",F22*G22)</f>
        <v>0.25</v>
      </c>
      <c r="I22" s="2" t="s">
        <v>24</v>
      </c>
    </row>
    <row r="23" customFormat="false" ht="15" hidden="false" customHeight="false" outlineLevel="0" collapsed="false">
      <c r="A23" s="2" t="s">
        <v>19</v>
      </c>
      <c r="B23" s="2" t="s">
        <v>47</v>
      </c>
      <c r="C23" s="2" t="s">
        <v>48</v>
      </c>
      <c r="D23" s="2" t="s">
        <v>45</v>
      </c>
      <c r="E23" s="2" t="s">
        <v>46</v>
      </c>
      <c r="F23" s="4" t="n">
        <v>1</v>
      </c>
      <c r="G23" s="5" t="n">
        <v>0.33</v>
      </c>
      <c r="H23" s="6" t="n">
        <f aca="false">IF(G23="","",F23*G23)</f>
        <v>0.33</v>
      </c>
      <c r="I23" s="2" t="s">
        <v>24</v>
      </c>
    </row>
    <row r="24" customFormat="false" ht="15" hidden="false" customHeight="false" outlineLevel="0" collapsed="false">
      <c r="A24" s="2" t="s">
        <v>51</v>
      </c>
      <c r="B24" s="2" t="s">
        <v>52</v>
      </c>
      <c r="C24" s="2" t="s">
        <v>21</v>
      </c>
      <c r="D24" s="2" t="s">
        <v>53</v>
      </c>
      <c r="E24" s="2" t="s">
        <v>54</v>
      </c>
      <c r="F24" s="4" t="n">
        <v>1</v>
      </c>
      <c r="G24" s="5" t="n">
        <v>4</v>
      </c>
      <c r="H24" s="6" t="n">
        <f aca="false">IF(G24="","",F24*G24)</f>
        <v>4</v>
      </c>
      <c r="I24" s="2" t="s">
        <v>24</v>
      </c>
    </row>
    <row r="25" customFormat="false" ht="15" hidden="false" customHeight="false" outlineLevel="0" collapsed="false">
      <c r="A25" s="2" t="s">
        <v>51</v>
      </c>
      <c r="B25" s="2" t="s">
        <v>52</v>
      </c>
      <c r="C25" s="2" t="s">
        <v>21</v>
      </c>
      <c r="D25" s="2" t="s">
        <v>55</v>
      </c>
      <c r="E25" s="2" t="s">
        <v>56</v>
      </c>
      <c r="F25" s="4" t="n">
        <v>1</v>
      </c>
      <c r="G25" s="5" t="n">
        <v>2.5</v>
      </c>
      <c r="H25" s="6" t="n">
        <f aca="false">IF(G25="","",F25*G25)</f>
        <v>2.5</v>
      </c>
      <c r="I25" s="2" t="s">
        <v>24</v>
      </c>
    </row>
    <row r="26" customFormat="false" ht="15" hidden="false" customHeight="false" outlineLevel="0" collapsed="false">
      <c r="A26" s="2" t="s">
        <v>51</v>
      </c>
      <c r="B26" s="2" t="s">
        <v>52</v>
      </c>
      <c r="C26" s="2" t="s">
        <v>21</v>
      </c>
      <c r="D26" s="2" t="s">
        <v>57</v>
      </c>
      <c r="E26" s="2" t="s">
        <v>58</v>
      </c>
      <c r="F26" s="4" t="n">
        <v>2</v>
      </c>
      <c r="G26" s="5" t="n">
        <v>1.42</v>
      </c>
      <c r="H26" s="6" t="n">
        <f aca="false">IF(G26="","",F26*G26)</f>
        <v>2.84</v>
      </c>
      <c r="I26" s="2" t="s">
        <v>24</v>
      </c>
    </row>
    <row r="27" customFormat="false" ht="15" hidden="false" customHeight="false" outlineLevel="0" collapsed="false">
      <c r="A27" s="2" t="s">
        <v>51</v>
      </c>
      <c r="B27" s="2" t="s">
        <v>52</v>
      </c>
      <c r="C27" s="2" t="s">
        <v>21</v>
      </c>
      <c r="D27" s="2" t="s">
        <v>59</v>
      </c>
      <c r="E27" s="2" t="s">
        <v>60</v>
      </c>
      <c r="F27" s="4" t="n">
        <v>1</v>
      </c>
      <c r="G27" s="6" t="str">
        <f aca="false">IFERROR(IF(INDEX('New Components'!$D$2:$D$23,MATCH(E27,'New Components'!$A$2:$A$23,0))="","",INDEX('New Components'!$D$2:$D$23,MATCH(E27,'New Components'!$A$2:$A$23,0))),"")</f>
        <v/>
      </c>
      <c r="H27" s="6" t="str">
        <f aca="false">IF(G27="","",F27*G27)</f>
        <v/>
      </c>
      <c r="I27" s="2" t="s">
        <v>27</v>
      </c>
    </row>
    <row r="28" customFormat="false" ht="15" hidden="false" customHeight="false" outlineLevel="0" collapsed="false">
      <c r="A28" s="2" t="s">
        <v>51</v>
      </c>
      <c r="B28" s="2" t="s">
        <v>52</v>
      </c>
      <c r="C28" s="2" t="s">
        <v>21</v>
      </c>
      <c r="D28" s="2" t="s">
        <v>61</v>
      </c>
      <c r="E28" s="2" t="s">
        <v>62</v>
      </c>
      <c r="F28" s="4" t="n">
        <v>1</v>
      </c>
      <c r="G28" s="5" t="n">
        <v>6</v>
      </c>
      <c r="H28" s="6" t="n">
        <f aca="false">IF(G28="","",F28*G28)</f>
        <v>6</v>
      </c>
      <c r="I28" s="2" t="s">
        <v>24</v>
      </c>
    </row>
    <row r="29" customFormat="false" ht="15" hidden="false" customHeight="false" outlineLevel="0" collapsed="false">
      <c r="A29" s="2" t="s">
        <v>51</v>
      </c>
      <c r="B29" s="2" t="s">
        <v>52</v>
      </c>
      <c r="C29" s="2" t="s">
        <v>21</v>
      </c>
      <c r="D29" s="2" t="s">
        <v>32</v>
      </c>
      <c r="E29" s="2" t="s">
        <v>33</v>
      </c>
      <c r="F29" s="4" t="n">
        <v>1</v>
      </c>
      <c r="G29" s="5" t="n">
        <v>4</v>
      </c>
      <c r="H29" s="6" t="n">
        <f aca="false">IF(G29="","",F29*G29)</f>
        <v>4</v>
      </c>
      <c r="I29" s="2" t="s">
        <v>34</v>
      </c>
    </row>
    <row r="30" customFormat="false" ht="15" hidden="false" customHeight="false" outlineLevel="0" collapsed="false">
      <c r="A30" s="2" t="s">
        <v>51</v>
      </c>
      <c r="B30" s="2" t="s">
        <v>52</v>
      </c>
      <c r="C30" s="2" t="s">
        <v>21</v>
      </c>
      <c r="D30" s="2" t="s">
        <v>35</v>
      </c>
      <c r="E30" s="2" t="s">
        <v>36</v>
      </c>
      <c r="F30" s="4" t="n">
        <v>1</v>
      </c>
      <c r="G30" s="6" t="str">
        <f aca="false">IFERROR(IF(INDEX('New Components'!$D$2:$D$23,MATCH(E30,'New Components'!$A$2:$A$23,0))="","",INDEX('New Components'!$D$2:$D$23,MATCH(E30,'New Components'!$A$2:$A$23,0))),"")</f>
        <v/>
      </c>
      <c r="H30" s="6" t="str">
        <f aca="false">IF(G30="","",F30*G30)</f>
        <v/>
      </c>
      <c r="I30" s="2" t="s">
        <v>27</v>
      </c>
    </row>
    <row r="31" customFormat="false" ht="15" hidden="false" customHeight="false" outlineLevel="0" collapsed="false">
      <c r="A31" s="2" t="s">
        <v>51</v>
      </c>
      <c r="B31" s="2" t="s">
        <v>52</v>
      </c>
      <c r="C31" s="2" t="s">
        <v>21</v>
      </c>
      <c r="D31" s="2" t="s">
        <v>37</v>
      </c>
      <c r="E31" s="2" t="s">
        <v>38</v>
      </c>
      <c r="F31" s="4" t="n">
        <v>1</v>
      </c>
      <c r="G31" s="6" t="str">
        <f aca="false">IFERROR(IF(INDEX('New Components'!$D$2:$D$23,MATCH(E31,'New Components'!$A$2:$A$23,0))="","",INDEX('New Components'!$D$2:$D$23,MATCH(E31,'New Components'!$A$2:$A$23,0))),"")</f>
        <v/>
      </c>
      <c r="H31" s="6" t="str">
        <f aca="false">IF(G31="","",F31*G31)</f>
        <v/>
      </c>
      <c r="I31" s="2" t="s">
        <v>27</v>
      </c>
    </row>
    <row r="32" customFormat="false" ht="15" hidden="false" customHeight="false" outlineLevel="0" collapsed="false">
      <c r="A32" s="2" t="s">
        <v>51</v>
      </c>
      <c r="B32" s="2" t="s">
        <v>52</v>
      </c>
      <c r="C32" s="2" t="s">
        <v>21</v>
      </c>
      <c r="D32" s="2" t="s">
        <v>39</v>
      </c>
      <c r="E32" s="2" t="s">
        <v>40</v>
      </c>
      <c r="F32" s="4" t="n">
        <v>1</v>
      </c>
      <c r="G32" s="6" t="str">
        <f aca="false">IFERROR(IF(INDEX('New Components'!$D$2:$D$23,MATCH(E32,'New Components'!$A$2:$A$23,0))="","",INDEX('New Components'!$D$2:$D$23,MATCH(E32,'New Components'!$A$2:$A$23,0))),"")</f>
        <v/>
      </c>
      <c r="H32" s="6" t="str">
        <f aca="false">IF(G32="","",F32*G32)</f>
        <v/>
      </c>
      <c r="I32" s="2" t="s">
        <v>27</v>
      </c>
    </row>
    <row r="33" customFormat="false" ht="15" hidden="false" customHeight="false" outlineLevel="0" collapsed="false">
      <c r="A33" s="2" t="s">
        <v>51</v>
      </c>
      <c r="B33" s="2" t="s">
        <v>52</v>
      </c>
      <c r="C33" s="2" t="s">
        <v>21</v>
      </c>
      <c r="D33" s="2" t="s">
        <v>41</v>
      </c>
      <c r="E33" s="2" t="s">
        <v>42</v>
      </c>
      <c r="F33" s="4" t="n">
        <v>1</v>
      </c>
      <c r="G33" s="5" t="n">
        <v>0.5</v>
      </c>
      <c r="H33" s="6" t="n">
        <f aca="false">IF(G33="","",F33*G33)</f>
        <v>0.5</v>
      </c>
      <c r="I33" s="2" t="s">
        <v>24</v>
      </c>
    </row>
    <row r="34" customFormat="false" ht="15" hidden="false" customHeight="false" outlineLevel="0" collapsed="false">
      <c r="A34" s="2" t="s">
        <v>51</v>
      </c>
      <c r="B34" s="2" t="s">
        <v>52</v>
      </c>
      <c r="C34" s="2" t="s">
        <v>21</v>
      </c>
      <c r="D34" s="2" t="s">
        <v>43</v>
      </c>
      <c r="E34" s="2" t="s">
        <v>44</v>
      </c>
      <c r="F34" s="4" t="n">
        <v>1</v>
      </c>
      <c r="G34" s="5" t="n">
        <v>0.25</v>
      </c>
      <c r="H34" s="6" t="n">
        <f aca="false">IF(G34="","",F34*G34)</f>
        <v>0.25</v>
      </c>
      <c r="I34" s="2" t="s">
        <v>24</v>
      </c>
    </row>
    <row r="35" customFormat="false" ht="15" hidden="false" customHeight="false" outlineLevel="0" collapsed="false">
      <c r="A35" s="2" t="s">
        <v>51</v>
      </c>
      <c r="B35" s="2" t="s">
        <v>52</v>
      </c>
      <c r="C35" s="2" t="s">
        <v>21</v>
      </c>
      <c r="D35" s="2" t="s">
        <v>45</v>
      </c>
      <c r="E35" s="2" t="s">
        <v>46</v>
      </c>
      <c r="F35" s="4" t="n">
        <v>1</v>
      </c>
      <c r="G35" s="5" t="n">
        <v>0.33</v>
      </c>
      <c r="H35" s="6" t="n">
        <f aca="false">IF(G35="","",F35*G35)</f>
        <v>0.33</v>
      </c>
      <c r="I35" s="2" t="s">
        <v>24</v>
      </c>
    </row>
    <row r="36" customFormat="false" ht="15" hidden="false" customHeight="false" outlineLevel="0" collapsed="false">
      <c r="A36" s="2" t="s">
        <v>51</v>
      </c>
      <c r="B36" s="2" t="s">
        <v>63</v>
      </c>
      <c r="C36" s="2" t="s">
        <v>64</v>
      </c>
      <c r="D36" s="2" t="s">
        <v>53</v>
      </c>
      <c r="E36" s="2" t="s">
        <v>54</v>
      </c>
      <c r="F36" s="4" t="n">
        <v>1</v>
      </c>
      <c r="G36" s="5" t="n">
        <v>4</v>
      </c>
      <c r="H36" s="6" t="n">
        <f aca="false">IF(G36="","",F36*G36)</f>
        <v>4</v>
      </c>
      <c r="I36" s="2" t="s">
        <v>24</v>
      </c>
    </row>
    <row r="37" customFormat="false" ht="15" hidden="false" customHeight="false" outlineLevel="0" collapsed="false">
      <c r="A37" s="2" t="s">
        <v>51</v>
      </c>
      <c r="B37" s="2" t="s">
        <v>63</v>
      </c>
      <c r="C37" s="2" t="s">
        <v>64</v>
      </c>
      <c r="D37" s="2" t="s">
        <v>55</v>
      </c>
      <c r="E37" s="2" t="s">
        <v>56</v>
      </c>
      <c r="F37" s="4" t="n">
        <v>1</v>
      </c>
      <c r="G37" s="5" t="n">
        <v>2.5</v>
      </c>
      <c r="H37" s="6" t="n">
        <f aca="false">IF(G37="","",F37*G37)</f>
        <v>2.5</v>
      </c>
      <c r="I37" s="2" t="s">
        <v>24</v>
      </c>
    </row>
    <row r="38" customFormat="false" ht="15" hidden="false" customHeight="false" outlineLevel="0" collapsed="false">
      <c r="A38" s="2" t="s">
        <v>51</v>
      </c>
      <c r="B38" s="2" t="s">
        <v>63</v>
      </c>
      <c r="C38" s="2" t="s">
        <v>64</v>
      </c>
      <c r="D38" s="2" t="s">
        <v>57</v>
      </c>
      <c r="E38" s="2" t="s">
        <v>58</v>
      </c>
      <c r="F38" s="4" t="n">
        <v>2</v>
      </c>
      <c r="G38" s="5" t="n">
        <v>1.42</v>
      </c>
      <c r="H38" s="6" t="n">
        <f aca="false">IF(G38="","",F38*G38)</f>
        <v>2.84</v>
      </c>
      <c r="I38" s="2" t="s">
        <v>24</v>
      </c>
    </row>
    <row r="39" customFormat="false" ht="15" hidden="false" customHeight="false" outlineLevel="0" collapsed="false">
      <c r="A39" s="2" t="s">
        <v>51</v>
      </c>
      <c r="B39" s="2" t="s">
        <v>63</v>
      </c>
      <c r="C39" s="2" t="s">
        <v>64</v>
      </c>
      <c r="D39" s="2" t="s">
        <v>59</v>
      </c>
      <c r="E39" s="2" t="s">
        <v>60</v>
      </c>
      <c r="F39" s="4" t="n">
        <v>1</v>
      </c>
      <c r="G39" s="6" t="str">
        <f aca="false">IFERROR(IF(INDEX('New Components'!$D$2:$D$23,MATCH(E39,'New Components'!$A$2:$A$23,0))="","",INDEX('New Components'!$D$2:$D$23,MATCH(E39,'New Components'!$A$2:$A$23,0))),"")</f>
        <v/>
      </c>
      <c r="H39" s="6" t="str">
        <f aca="false">IF(G39="","",F39*G39)</f>
        <v/>
      </c>
      <c r="I39" s="2" t="s">
        <v>27</v>
      </c>
    </row>
    <row r="40" customFormat="false" ht="15" hidden="false" customHeight="false" outlineLevel="0" collapsed="false">
      <c r="A40" s="2" t="s">
        <v>51</v>
      </c>
      <c r="B40" s="2" t="s">
        <v>63</v>
      </c>
      <c r="C40" s="2" t="s">
        <v>64</v>
      </c>
      <c r="D40" s="2" t="s">
        <v>61</v>
      </c>
      <c r="E40" s="2" t="s">
        <v>62</v>
      </c>
      <c r="F40" s="4" t="n">
        <v>1</v>
      </c>
      <c r="G40" s="5" t="n">
        <v>6</v>
      </c>
      <c r="H40" s="6" t="n">
        <f aca="false">IF(G40="","",F40*G40)</f>
        <v>6</v>
      </c>
      <c r="I40" s="2" t="s">
        <v>24</v>
      </c>
    </row>
    <row r="41" customFormat="false" ht="15" hidden="false" customHeight="false" outlineLevel="0" collapsed="false">
      <c r="A41" s="2" t="s">
        <v>51</v>
      </c>
      <c r="B41" s="2" t="s">
        <v>63</v>
      </c>
      <c r="C41" s="2" t="s">
        <v>64</v>
      </c>
      <c r="D41" s="2" t="s">
        <v>32</v>
      </c>
      <c r="E41" s="2" t="s">
        <v>33</v>
      </c>
      <c r="F41" s="4" t="n">
        <v>1</v>
      </c>
      <c r="G41" s="5" t="n">
        <v>4</v>
      </c>
      <c r="H41" s="6" t="n">
        <f aca="false">IF(G41="","",F41*G41)</f>
        <v>4</v>
      </c>
      <c r="I41" s="2" t="s">
        <v>34</v>
      </c>
    </row>
    <row r="42" customFormat="false" ht="15" hidden="false" customHeight="false" outlineLevel="0" collapsed="false">
      <c r="A42" s="2" t="s">
        <v>51</v>
      </c>
      <c r="B42" s="2" t="s">
        <v>63</v>
      </c>
      <c r="C42" s="2" t="s">
        <v>64</v>
      </c>
      <c r="D42" s="2" t="s">
        <v>65</v>
      </c>
      <c r="E42" s="2" t="s">
        <v>66</v>
      </c>
      <c r="F42" s="4" t="n">
        <v>1</v>
      </c>
      <c r="G42" s="5" t="n">
        <v>12.08</v>
      </c>
      <c r="H42" s="6" t="n">
        <f aca="false">IF(G42="","",F42*G42)</f>
        <v>12.08</v>
      </c>
      <c r="I42" s="2" t="s">
        <v>24</v>
      </c>
    </row>
    <row r="43" customFormat="false" ht="15" hidden="false" customHeight="false" outlineLevel="0" collapsed="false">
      <c r="A43" s="2" t="s">
        <v>51</v>
      </c>
      <c r="B43" s="2" t="s">
        <v>63</v>
      </c>
      <c r="C43" s="2" t="s">
        <v>64</v>
      </c>
      <c r="D43" s="2" t="s">
        <v>35</v>
      </c>
      <c r="E43" s="2" t="s">
        <v>36</v>
      </c>
      <c r="F43" s="4" t="n">
        <v>1</v>
      </c>
      <c r="G43" s="6" t="str">
        <f aca="false">IFERROR(IF(INDEX('New Components'!$D$2:$D$23,MATCH(E43,'New Components'!$A$2:$A$23,0))="","",INDEX('New Components'!$D$2:$D$23,MATCH(E43,'New Components'!$A$2:$A$23,0))),"")</f>
        <v/>
      </c>
      <c r="H43" s="6" t="str">
        <f aca="false">IF(G43="","",F43*G43)</f>
        <v/>
      </c>
      <c r="I43" s="2" t="s">
        <v>27</v>
      </c>
    </row>
    <row r="44" customFormat="false" ht="15" hidden="false" customHeight="false" outlineLevel="0" collapsed="false">
      <c r="A44" s="2" t="s">
        <v>51</v>
      </c>
      <c r="B44" s="2" t="s">
        <v>63</v>
      </c>
      <c r="C44" s="2" t="s">
        <v>64</v>
      </c>
      <c r="D44" s="2" t="s">
        <v>37</v>
      </c>
      <c r="E44" s="2" t="s">
        <v>38</v>
      </c>
      <c r="F44" s="4" t="n">
        <v>1</v>
      </c>
      <c r="G44" s="6" t="str">
        <f aca="false">IFERROR(IF(INDEX('New Components'!$D$2:$D$23,MATCH(E44,'New Components'!$A$2:$A$23,0))="","",INDEX('New Components'!$D$2:$D$23,MATCH(E44,'New Components'!$A$2:$A$23,0))),"")</f>
        <v/>
      </c>
      <c r="H44" s="6" t="str">
        <f aca="false">IF(G44="","",F44*G44)</f>
        <v/>
      </c>
      <c r="I44" s="2" t="s">
        <v>27</v>
      </c>
    </row>
    <row r="45" customFormat="false" ht="15" hidden="false" customHeight="false" outlineLevel="0" collapsed="false">
      <c r="A45" s="2" t="s">
        <v>51</v>
      </c>
      <c r="B45" s="2" t="s">
        <v>63</v>
      </c>
      <c r="C45" s="2" t="s">
        <v>64</v>
      </c>
      <c r="D45" s="2" t="s">
        <v>39</v>
      </c>
      <c r="E45" s="2" t="s">
        <v>40</v>
      </c>
      <c r="F45" s="4" t="n">
        <v>1</v>
      </c>
      <c r="G45" s="6" t="str">
        <f aca="false">IFERROR(IF(INDEX('New Components'!$D$2:$D$23,MATCH(E45,'New Components'!$A$2:$A$23,0))="","",INDEX('New Components'!$D$2:$D$23,MATCH(E45,'New Components'!$A$2:$A$23,0))),"")</f>
        <v/>
      </c>
      <c r="H45" s="6" t="str">
        <f aca="false">IF(G45="","",F45*G45)</f>
        <v/>
      </c>
      <c r="I45" s="2" t="s">
        <v>27</v>
      </c>
    </row>
    <row r="46" customFormat="false" ht="15" hidden="false" customHeight="false" outlineLevel="0" collapsed="false">
      <c r="A46" s="2" t="s">
        <v>51</v>
      </c>
      <c r="B46" s="2" t="s">
        <v>63</v>
      </c>
      <c r="C46" s="2" t="s">
        <v>64</v>
      </c>
      <c r="D46" s="2" t="s">
        <v>41</v>
      </c>
      <c r="E46" s="2" t="s">
        <v>42</v>
      </c>
      <c r="F46" s="4" t="n">
        <v>1</v>
      </c>
      <c r="G46" s="5" t="n">
        <v>0.5</v>
      </c>
      <c r="H46" s="6" t="n">
        <f aca="false">IF(G46="","",F46*G46)</f>
        <v>0.5</v>
      </c>
      <c r="I46" s="2" t="s">
        <v>24</v>
      </c>
    </row>
    <row r="47" customFormat="false" ht="15" hidden="false" customHeight="false" outlineLevel="0" collapsed="false">
      <c r="A47" s="2" t="s">
        <v>51</v>
      </c>
      <c r="B47" s="2" t="s">
        <v>63</v>
      </c>
      <c r="C47" s="2" t="s">
        <v>64</v>
      </c>
      <c r="D47" s="2" t="s">
        <v>43</v>
      </c>
      <c r="E47" s="2" t="s">
        <v>44</v>
      </c>
      <c r="F47" s="4" t="n">
        <v>1</v>
      </c>
      <c r="G47" s="5" t="n">
        <v>0.25</v>
      </c>
      <c r="H47" s="6" t="n">
        <f aca="false">IF(G47="","",F47*G47)</f>
        <v>0.25</v>
      </c>
      <c r="I47" s="2" t="s">
        <v>24</v>
      </c>
    </row>
    <row r="48" customFormat="false" ht="15" hidden="false" customHeight="false" outlineLevel="0" collapsed="false">
      <c r="A48" s="2" t="s">
        <v>51</v>
      </c>
      <c r="B48" s="2" t="s">
        <v>63</v>
      </c>
      <c r="C48" s="2" t="s">
        <v>64</v>
      </c>
      <c r="D48" s="2" t="s">
        <v>45</v>
      </c>
      <c r="E48" s="2" t="s">
        <v>46</v>
      </c>
      <c r="F48" s="4" t="n">
        <v>1</v>
      </c>
      <c r="G48" s="5" t="n">
        <v>0.33</v>
      </c>
      <c r="H48" s="6" t="n">
        <f aca="false">IF(G48="","",F48*G48)</f>
        <v>0.33</v>
      </c>
      <c r="I48" s="2" t="s">
        <v>24</v>
      </c>
    </row>
    <row r="49" customFormat="false" ht="15" hidden="false" customHeight="false" outlineLevel="0" collapsed="false">
      <c r="A49" s="2" t="s">
        <v>67</v>
      </c>
      <c r="B49" s="2" t="s">
        <v>68</v>
      </c>
      <c r="C49" s="2" t="s">
        <v>69</v>
      </c>
      <c r="D49" s="2" t="s">
        <v>70</v>
      </c>
      <c r="E49" s="2" t="s">
        <v>71</v>
      </c>
      <c r="F49" s="4" t="n">
        <v>1</v>
      </c>
      <c r="G49" s="6" t="str">
        <f aca="false">IFERROR(IF(INDEX('New Components'!$D$2:$D$23,MATCH(E49,'New Components'!$A$2:$A$23,0))="","",INDEX('New Components'!$D$2:$D$23,MATCH(E49,'New Components'!$A$2:$A$23,0))),"")</f>
        <v/>
      </c>
      <c r="H49" s="6" t="str">
        <f aca="false">IF(G49="","",F49*G49)</f>
        <v/>
      </c>
      <c r="I49" s="2" t="s">
        <v>27</v>
      </c>
    </row>
    <row r="50" customFormat="false" ht="15" hidden="false" customHeight="false" outlineLevel="0" collapsed="false">
      <c r="A50" s="2" t="s">
        <v>67</v>
      </c>
      <c r="B50" s="2" t="s">
        <v>68</v>
      </c>
      <c r="C50" s="2" t="s">
        <v>69</v>
      </c>
      <c r="D50" s="2" t="s">
        <v>72</v>
      </c>
      <c r="E50" s="2" t="s">
        <v>73</v>
      </c>
      <c r="F50" s="4" t="n">
        <v>1</v>
      </c>
      <c r="G50" s="6" t="str">
        <f aca="false">IFERROR(IF(INDEX('New Components'!$D$2:$D$23,MATCH(E50,'New Components'!$A$2:$A$23,0))="","",INDEX('New Components'!$D$2:$D$23,MATCH(E50,'New Components'!$A$2:$A$23,0))),"")</f>
        <v/>
      </c>
      <c r="H50" s="6" t="str">
        <f aca="false">IF(G50="","",F50*G50)</f>
        <v/>
      </c>
      <c r="I50" s="2" t="s">
        <v>27</v>
      </c>
    </row>
    <row r="51" customFormat="false" ht="15" hidden="false" customHeight="false" outlineLevel="0" collapsed="false">
      <c r="A51" s="2" t="s">
        <v>67</v>
      </c>
      <c r="B51" s="2" t="s">
        <v>68</v>
      </c>
      <c r="C51" s="2" t="s">
        <v>69</v>
      </c>
      <c r="D51" s="2" t="s">
        <v>74</v>
      </c>
      <c r="E51" s="2" t="s">
        <v>75</v>
      </c>
      <c r="F51" s="4" t="n">
        <v>1</v>
      </c>
      <c r="G51" s="6" t="str">
        <f aca="false">IFERROR(IF(INDEX('New Components'!$D$2:$D$23,MATCH(E51,'New Components'!$A$2:$A$23,0))="","",INDEX('New Components'!$D$2:$D$23,MATCH(E51,'New Components'!$A$2:$A$23,0))),"")</f>
        <v/>
      </c>
      <c r="H51" s="6" t="str">
        <f aca="false">IF(G51="","",F51*G51)</f>
        <v/>
      </c>
      <c r="I51" s="2" t="s">
        <v>27</v>
      </c>
    </row>
    <row r="52" customFormat="false" ht="15" hidden="false" customHeight="false" outlineLevel="0" collapsed="false">
      <c r="A52" s="2" t="s">
        <v>67</v>
      </c>
      <c r="B52" s="2" t="s">
        <v>68</v>
      </c>
      <c r="C52" s="2" t="s">
        <v>69</v>
      </c>
      <c r="D52" s="2" t="s">
        <v>76</v>
      </c>
      <c r="E52" s="2" t="s">
        <v>77</v>
      </c>
      <c r="F52" s="4" t="n">
        <v>1</v>
      </c>
      <c r="G52" s="6" t="str">
        <f aca="false">IFERROR(IF(INDEX('New Components'!$D$2:$D$23,MATCH(E52,'New Components'!$A$2:$A$23,0))="","",INDEX('New Components'!$D$2:$D$23,MATCH(E52,'New Components'!$A$2:$A$23,0))),"")</f>
        <v/>
      </c>
      <c r="H52" s="6" t="str">
        <f aca="false">IF(G52="","",F52*G52)</f>
        <v/>
      </c>
      <c r="I52" s="2" t="s">
        <v>27</v>
      </c>
    </row>
    <row r="53" customFormat="false" ht="15" hidden="false" customHeight="false" outlineLevel="0" collapsed="false">
      <c r="A53" s="2" t="s">
        <v>67</v>
      </c>
      <c r="B53" s="2" t="s">
        <v>68</v>
      </c>
      <c r="C53" s="2" t="s">
        <v>69</v>
      </c>
      <c r="D53" s="2" t="s">
        <v>78</v>
      </c>
      <c r="E53" s="2" t="s">
        <v>79</v>
      </c>
      <c r="F53" s="4" t="n">
        <v>1</v>
      </c>
      <c r="G53" s="5" t="n">
        <v>2.83</v>
      </c>
      <c r="H53" s="6" t="n">
        <f aca="false">IF(G53="","",F53*G53)</f>
        <v>2.83</v>
      </c>
      <c r="I53" s="2" t="s">
        <v>24</v>
      </c>
    </row>
    <row r="54" customFormat="false" ht="15" hidden="false" customHeight="false" outlineLevel="0" collapsed="false">
      <c r="A54" s="2" t="s">
        <v>67</v>
      </c>
      <c r="B54" s="2" t="s">
        <v>68</v>
      </c>
      <c r="C54" s="2" t="s">
        <v>69</v>
      </c>
      <c r="D54" s="2" t="s">
        <v>80</v>
      </c>
      <c r="E54" s="2" t="s">
        <v>81</v>
      </c>
      <c r="F54" s="4" t="n">
        <v>2</v>
      </c>
      <c r="G54" s="5" t="n">
        <v>0.54</v>
      </c>
      <c r="H54" s="6" t="n">
        <f aca="false">IF(G54="","",F54*G54)</f>
        <v>1.08</v>
      </c>
      <c r="I54" s="2" t="s">
        <v>24</v>
      </c>
    </row>
    <row r="55" customFormat="false" ht="15" hidden="false" customHeight="false" outlineLevel="0" collapsed="false">
      <c r="A55" s="2" t="s">
        <v>67</v>
      </c>
      <c r="B55" s="2" t="s">
        <v>68</v>
      </c>
      <c r="C55" s="2" t="s">
        <v>69</v>
      </c>
      <c r="D55" s="2" t="s">
        <v>32</v>
      </c>
      <c r="E55" s="2" t="s">
        <v>33</v>
      </c>
      <c r="F55" s="4" t="n">
        <v>1</v>
      </c>
      <c r="G55" s="5" t="n">
        <v>4</v>
      </c>
      <c r="H55" s="6" t="n">
        <f aca="false">IF(G55="","",F55*G55)</f>
        <v>4</v>
      </c>
      <c r="I55" s="2" t="s">
        <v>34</v>
      </c>
    </row>
    <row r="56" customFormat="false" ht="15" hidden="false" customHeight="false" outlineLevel="0" collapsed="false">
      <c r="A56" s="2" t="s">
        <v>67</v>
      </c>
      <c r="B56" s="2" t="s">
        <v>68</v>
      </c>
      <c r="C56" s="2" t="s">
        <v>69</v>
      </c>
      <c r="D56" s="2" t="s">
        <v>82</v>
      </c>
      <c r="E56" s="2" t="s">
        <v>83</v>
      </c>
      <c r="F56" s="4" t="n">
        <v>1</v>
      </c>
      <c r="G56" s="6" t="str">
        <f aca="false">IFERROR(IF(INDEX('New Components'!$D$2:$D$23,MATCH(E56,'New Components'!$A$2:$A$23,0))="","",INDEX('New Components'!$D$2:$D$23,MATCH(E56,'New Components'!$A$2:$A$23,0))),"")</f>
        <v/>
      </c>
      <c r="H56" s="6" t="str">
        <f aca="false">IF(G56="","",F56*G56)</f>
        <v/>
      </c>
      <c r="I56" s="2" t="s">
        <v>27</v>
      </c>
    </row>
    <row r="57" customFormat="false" ht="15" hidden="false" customHeight="false" outlineLevel="0" collapsed="false">
      <c r="A57" s="2" t="s">
        <v>67</v>
      </c>
      <c r="B57" s="2" t="s">
        <v>68</v>
      </c>
      <c r="C57" s="2" t="s">
        <v>69</v>
      </c>
      <c r="D57" s="2" t="s">
        <v>37</v>
      </c>
      <c r="E57" s="2" t="s">
        <v>38</v>
      </c>
      <c r="F57" s="4" t="n">
        <v>1</v>
      </c>
      <c r="G57" s="6" t="str">
        <f aca="false">IFERROR(IF(INDEX('New Components'!$D$2:$D$23,MATCH(E57,'New Components'!$A$2:$A$23,0))="","",INDEX('New Components'!$D$2:$D$23,MATCH(E57,'New Components'!$A$2:$A$23,0))),"")</f>
        <v/>
      </c>
      <c r="H57" s="6" t="str">
        <f aca="false">IF(G57="","",F57*G57)</f>
        <v/>
      </c>
      <c r="I57" s="2" t="s">
        <v>27</v>
      </c>
    </row>
    <row r="58" customFormat="false" ht="15" hidden="false" customHeight="false" outlineLevel="0" collapsed="false">
      <c r="A58" s="2" t="s">
        <v>67</v>
      </c>
      <c r="B58" s="2" t="s">
        <v>68</v>
      </c>
      <c r="C58" s="2" t="s">
        <v>69</v>
      </c>
      <c r="D58" s="2" t="s">
        <v>39</v>
      </c>
      <c r="E58" s="2" t="s">
        <v>40</v>
      </c>
      <c r="F58" s="4" t="n">
        <v>1</v>
      </c>
      <c r="G58" s="6" t="str">
        <f aca="false">IFERROR(IF(INDEX('New Components'!$D$2:$D$23,MATCH(E58,'New Components'!$A$2:$A$23,0))="","",INDEX('New Components'!$D$2:$D$23,MATCH(E58,'New Components'!$A$2:$A$23,0))),"")</f>
        <v/>
      </c>
      <c r="H58" s="6" t="str">
        <f aca="false">IF(G58="","",F58*G58)</f>
        <v/>
      </c>
      <c r="I58" s="2" t="s">
        <v>27</v>
      </c>
    </row>
    <row r="59" customFormat="false" ht="15" hidden="false" customHeight="false" outlineLevel="0" collapsed="false">
      <c r="A59" s="2" t="s">
        <v>67</v>
      </c>
      <c r="B59" s="2" t="s">
        <v>68</v>
      </c>
      <c r="C59" s="2" t="s">
        <v>69</v>
      </c>
      <c r="D59" s="2" t="s">
        <v>41</v>
      </c>
      <c r="E59" s="2" t="s">
        <v>42</v>
      </c>
      <c r="F59" s="4" t="n">
        <v>1</v>
      </c>
      <c r="G59" s="5" t="n">
        <v>0.5</v>
      </c>
      <c r="H59" s="6" t="n">
        <f aca="false">IF(G59="","",F59*G59)</f>
        <v>0.5</v>
      </c>
      <c r="I59" s="2" t="s">
        <v>24</v>
      </c>
    </row>
    <row r="60" customFormat="false" ht="15" hidden="false" customHeight="false" outlineLevel="0" collapsed="false">
      <c r="A60" s="2" t="s">
        <v>67</v>
      </c>
      <c r="B60" s="2" t="s">
        <v>68</v>
      </c>
      <c r="C60" s="2" t="s">
        <v>69</v>
      </c>
      <c r="D60" s="2" t="s">
        <v>84</v>
      </c>
      <c r="E60" s="2" t="s">
        <v>85</v>
      </c>
      <c r="F60" s="4" t="n">
        <v>1</v>
      </c>
      <c r="G60" s="5" t="n">
        <v>0.25</v>
      </c>
      <c r="H60" s="6" t="n">
        <f aca="false">IF(G60="","",F60*G60)</f>
        <v>0.25</v>
      </c>
      <c r="I60" s="2" t="s">
        <v>24</v>
      </c>
    </row>
    <row r="61" customFormat="false" ht="15" hidden="false" customHeight="false" outlineLevel="0" collapsed="false">
      <c r="A61" s="2" t="s">
        <v>67</v>
      </c>
      <c r="B61" s="2" t="s">
        <v>68</v>
      </c>
      <c r="C61" s="2" t="s">
        <v>69</v>
      </c>
      <c r="D61" s="2" t="s">
        <v>86</v>
      </c>
      <c r="E61" s="2" t="s">
        <v>87</v>
      </c>
      <c r="F61" s="4" t="n">
        <v>1</v>
      </c>
      <c r="G61" s="5" t="n">
        <v>0.33</v>
      </c>
      <c r="H61" s="6" t="n">
        <f aca="false">IF(G61="","",F61*G61)</f>
        <v>0.33</v>
      </c>
      <c r="I61" s="2" t="s">
        <v>24</v>
      </c>
    </row>
    <row r="62" customFormat="false" ht="15" hidden="false" customHeight="false" outlineLevel="0" collapsed="false">
      <c r="A62" s="2" t="s">
        <v>88</v>
      </c>
      <c r="B62" s="2" t="s">
        <v>89</v>
      </c>
      <c r="C62" s="2" t="s">
        <v>69</v>
      </c>
      <c r="D62" s="2" t="s">
        <v>78</v>
      </c>
      <c r="E62" s="2" t="s">
        <v>79</v>
      </c>
      <c r="F62" s="4" t="n">
        <v>1</v>
      </c>
      <c r="G62" s="5" t="n">
        <v>2.83</v>
      </c>
      <c r="H62" s="6" t="n">
        <f aca="false">IF(G62="","",F62*G62)</f>
        <v>2.83</v>
      </c>
      <c r="I62" s="2" t="s">
        <v>24</v>
      </c>
    </row>
    <row r="63" customFormat="false" ht="15" hidden="false" customHeight="false" outlineLevel="0" collapsed="false">
      <c r="A63" s="2" t="s">
        <v>88</v>
      </c>
      <c r="B63" s="2" t="s">
        <v>89</v>
      </c>
      <c r="C63" s="2" t="s">
        <v>69</v>
      </c>
      <c r="D63" s="2" t="s">
        <v>90</v>
      </c>
      <c r="E63" s="2" t="s">
        <v>91</v>
      </c>
      <c r="F63" s="4" t="n">
        <v>1</v>
      </c>
      <c r="G63" s="5" t="n">
        <v>1.5</v>
      </c>
      <c r="H63" s="6" t="n">
        <f aca="false">IF(G63="","",F63*G63)</f>
        <v>1.5</v>
      </c>
      <c r="I63" s="2" t="s">
        <v>24</v>
      </c>
    </row>
    <row r="64" customFormat="false" ht="15" hidden="false" customHeight="false" outlineLevel="0" collapsed="false">
      <c r="A64" s="2" t="s">
        <v>88</v>
      </c>
      <c r="B64" s="2" t="s">
        <v>89</v>
      </c>
      <c r="C64" s="2" t="s">
        <v>69</v>
      </c>
      <c r="D64" s="2" t="s">
        <v>92</v>
      </c>
      <c r="E64" s="2" t="s">
        <v>93</v>
      </c>
      <c r="F64" s="4" t="n">
        <v>1</v>
      </c>
      <c r="G64" s="6" t="str">
        <f aca="false">IFERROR(IF(INDEX('New Components'!$D$2:$D$23,MATCH(E64,'New Components'!$A$2:$A$23,0))="","",INDEX('New Components'!$D$2:$D$23,MATCH(E64,'New Components'!$A$2:$A$23,0))),"")</f>
        <v/>
      </c>
      <c r="H64" s="6" t="str">
        <f aca="false">IF(G64="","",F64*G64)</f>
        <v/>
      </c>
      <c r="I64" s="2" t="s">
        <v>27</v>
      </c>
    </row>
    <row r="65" customFormat="false" ht="15" hidden="false" customHeight="false" outlineLevel="0" collapsed="false">
      <c r="A65" s="2" t="s">
        <v>88</v>
      </c>
      <c r="B65" s="2" t="s">
        <v>89</v>
      </c>
      <c r="C65" s="2" t="s">
        <v>69</v>
      </c>
      <c r="D65" s="2" t="s">
        <v>76</v>
      </c>
      <c r="E65" s="2" t="s">
        <v>77</v>
      </c>
      <c r="F65" s="4" t="n">
        <v>1</v>
      </c>
      <c r="G65" s="6" t="str">
        <f aca="false">IFERROR(IF(INDEX('New Components'!$D$2:$D$23,MATCH(E65,'New Components'!$A$2:$A$23,0))="","",INDEX('New Components'!$D$2:$D$23,MATCH(E65,'New Components'!$A$2:$A$23,0))),"")</f>
        <v/>
      </c>
      <c r="H65" s="6" t="str">
        <f aca="false">IF(G65="","",F65*G65)</f>
        <v/>
      </c>
      <c r="I65" s="2" t="s">
        <v>27</v>
      </c>
    </row>
    <row r="66" customFormat="false" ht="15" hidden="false" customHeight="false" outlineLevel="0" collapsed="false">
      <c r="A66" s="2" t="s">
        <v>88</v>
      </c>
      <c r="B66" s="2" t="s">
        <v>89</v>
      </c>
      <c r="C66" s="2" t="s">
        <v>69</v>
      </c>
      <c r="D66" s="2" t="s">
        <v>94</v>
      </c>
      <c r="E66" s="2" t="s">
        <v>95</v>
      </c>
      <c r="F66" s="4" t="n">
        <v>1</v>
      </c>
      <c r="G66" s="6" t="str">
        <f aca="false">IFERROR(IF(INDEX('New Components'!$D$2:$D$23,MATCH(E66,'New Components'!$A$2:$A$23,0))="","",INDEX('New Components'!$D$2:$D$23,MATCH(E66,'New Components'!$A$2:$A$23,0))),"")</f>
        <v/>
      </c>
      <c r="H66" s="6" t="str">
        <f aca="false">IF(G66="","",F66*G66)</f>
        <v/>
      </c>
      <c r="I66" s="2" t="s">
        <v>27</v>
      </c>
    </row>
    <row r="67" customFormat="false" ht="15" hidden="false" customHeight="false" outlineLevel="0" collapsed="false">
      <c r="A67" s="2" t="s">
        <v>88</v>
      </c>
      <c r="B67" s="2" t="s">
        <v>89</v>
      </c>
      <c r="C67" s="2" t="s">
        <v>69</v>
      </c>
      <c r="D67" s="2" t="s">
        <v>96</v>
      </c>
      <c r="E67" s="2" t="s">
        <v>97</v>
      </c>
      <c r="F67" s="4" t="n">
        <v>1</v>
      </c>
      <c r="G67" s="5" t="n">
        <v>5</v>
      </c>
      <c r="H67" s="6" t="n">
        <f aca="false">IF(G67="","",F67*G67)</f>
        <v>5</v>
      </c>
      <c r="I67" s="2" t="s">
        <v>34</v>
      </c>
    </row>
    <row r="68" customFormat="false" ht="15" hidden="false" customHeight="false" outlineLevel="0" collapsed="false">
      <c r="A68" s="2" t="s">
        <v>88</v>
      </c>
      <c r="B68" s="2" t="s">
        <v>89</v>
      </c>
      <c r="C68" s="2" t="s">
        <v>69</v>
      </c>
      <c r="D68" s="2" t="s">
        <v>35</v>
      </c>
      <c r="E68" s="2" t="s">
        <v>36</v>
      </c>
      <c r="F68" s="4" t="n">
        <v>1</v>
      </c>
      <c r="G68" s="6" t="str">
        <f aca="false">IFERROR(IF(INDEX('New Components'!$D$2:$D$23,MATCH(E68,'New Components'!$A$2:$A$23,0))="","",INDEX('New Components'!$D$2:$D$23,MATCH(E68,'New Components'!$A$2:$A$23,0))),"")</f>
        <v/>
      </c>
      <c r="H68" s="6" t="str">
        <f aca="false">IF(G68="","",F68*G68)</f>
        <v/>
      </c>
      <c r="I68" s="2" t="s">
        <v>27</v>
      </c>
    </row>
    <row r="69" customFormat="false" ht="15" hidden="false" customHeight="false" outlineLevel="0" collapsed="false">
      <c r="A69" s="2" t="s">
        <v>88</v>
      </c>
      <c r="B69" s="2" t="s">
        <v>89</v>
      </c>
      <c r="C69" s="2" t="s">
        <v>69</v>
      </c>
      <c r="D69" s="2" t="s">
        <v>37</v>
      </c>
      <c r="E69" s="2" t="s">
        <v>38</v>
      </c>
      <c r="F69" s="4" t="n">
        <v>1</v>
      </c>
      <c r="G69" s="6" t="str">
        <f aca="false">IFERROR(IF(INDEX('New Components'!$D$2:$D$23,MATCH(E69,'New Components'!$A$2:$A$23,0))="","",INDEX('New Components'!$D$2:$D$23,MATCH(E69,'New Components'!$A$2:$A$23,0))),"")</f>
        <v/>
      </c>
      <c r="H69" s="6" t="str">
        <f aca="false">IF(G69="","",F69*G69)</f>
        <v/>
      </c>
      <c r="I69" s="2" t="s">
        <v>27</v>
      </c>
    </row>
    <row r="70" customFormat="false" ht="15" hidden="false" customHeight="false" outlineLevel="0" collapsed="false">
      <c r="A70" s="2" t="s">
        <v>88</v>
      </c>
      <c r="B70" s="2" t="s">
        <v>89</v>
      </c>
      <c r="C70" s="2" t="s">
        <v>69</v>
      </c>
      <c r="D70" s="2" t="s">
        <v>39</v>
      </c>
      <c r="E70" s="2" t="s">
        <v>40</v>
      </c>
      <c r="F70" s="4" t="n">
        <v>1</v>
      </c>
      <c r="G70" s="6" t="str">
        <f aca="false">IFERROR(IF(INDEX('New Components'!$D$2:$D$23,MATCH(E70,'New Components'!$A$2:$A$23,0))="","",INDEX('New Components'!$D$2:$D$23,MATCH(E70,'New Components'!$A$2:$A$23,0))),"")</f>
        <v/>
      </c>
      <c r="H70" s="6" t="str">
        <f aca="false">IF(G70="","",F70*G70)</f>
        <v/>
      </c>
      <c r="I70" s="2" t="s">
        <v>27</v>
      </c>
    </row>
    <row r="71" customFormat="false" ht="15" hidden="false" customHeight="false" outlineLevel="0" collapsed="false">
      <c r="A71" s="2" t="s">
        <v>88</v>
      </c>
      <c r="B71" s="2" t="s">
        <v>89</v>
      </c>
      <c r="C71" s="2" t="s">
        <v>69</v>
      </c>
      <c r="D71" s="2" t="s">
        <v>41</v>
      </c>
      <c r="E71" s="2" t="s">
        <v>42</v>
      </c>
      <c r="F71" s="4" t="n">
        <v>1</v>
      </c>
      <c r="G71" s="5" t="n">
        <v>0.5</v>
      </c>
      <c r="H71" s="6" t="n">
        <f aca="false">IF(G71="","",F71*G71)</f>
        <v>0.5</v>
      </c>
      <c r="I71" s="2" t="s">
        <v>24</v>
      </c>
    </row>
    <row r="72" customFormat="false" ht="15" hidden="false" customHeight="false" outlineLevel="0" collapsed="false">
      <c r="A72" s="2" t="s">
        <v>88</v>
      </c>
      <c r="B72" s="2" t="s">
        <v>89</v>
      </c>
      <c r="C72" s="2" t="s">
        <v>69</v>
      </c>
      <c r="D72" s="2" t="s">
        <v>43</v>
      </c>
      <c r="E72" s="2" t="s">
        <v>44</v>
      </c>
      <c r="F72" s="4" t="n">
        <v>1</v>
      </c>
      <c r="G72" s="5" t="n">
        <v>0.25</v>
      </c>
      <c r="H72" s="6" t="n">
        <f aca="false">IF(G72="","",F72*G72)</f>
        <v>0.25</v>
      </c>
      <c r="I72" s="2" t="s">
        <v>24</v>
      </c>
    </row>
    <row r="73" customFormat="false" ht="15" hidden="false" customHeight="false" outlineLevel="0" collapsed="false">
      <c r="A73" s="2" t="s">
        <v>88</v>
      </c>
      <c r="B73" s="2" t="s">
        <v>89</v>
      </c>
      <c r="C73" s="2" t="s">
        <v>69</v>
      </c>
      <c r="D73" s="2" t="s">
        <v>45</v>
      </c>
      <c r="E73" s="2" t="s">
        <v>46</v>
      </c>
      <c r="F73" s="4" t="n">
        <v>1</v>
      </c>
      <c r="G73" s="5" t="n">
        <v>0.33</v>
      </c>
      <c r="H73" s="6" t="n">
        <f aca="false">IF(G73="","",F73*G73)</f>
        <v>0.33</v>
      </c>
      <c r="I73" s="2" t="s">
        <v>24</v>
      </c>
    </row>
    <row r="74" customFormat="false" ht="15" hidden="false" customHeight="false" outlineLevel="0" collapsed="false">
      <c r="A74" s="2" t="s">
        <v>98</v>
      </c>
      <c r="B74" s="2" t="s">
        <v>99</v>
      </c>
      <c r="C74" s="2" t="s">
        <v>69</v>
      </c>
      <c r="D74" s="2" t="s">
        <v>100</v>
      </c>
      <c r="E74" s="2" t="s">
        <v>101</v>
      </c>
      <c r="F74" s="4" t="n">
        <v>1</v>
      </c>
      <c r="G74" s="6" t="str">
        <f aca="false">IFERROR(IF(INDEX('New Components'!$D$2:$D$23,MATCH(E74,'New Components'!$A$2:$A$23,0))="","",INDEX('New Components'!$D$2:$D$23,MATCH(E74,'New Components'!$A$2:$A$23,0))),"")</f>
        <v/>
      </c>
      <c r="H74" s="6" t="str">
        <f aca="false">IF(G74="","",F74*G74)</f>
        <v/>
      </c>
      <c r="I74" s="2" t="s">
        <v>27</v>
      </c>
    </row>
    <row r="75" customFormat="false" ht="15" hidden="false" customHeight="false" outlineLevel="0" collapsed="false">
      <c r="A75" s="2" t="s">
        <v>98</v>
      </c>
      <c r="B75" s="2" t="s">
        <v>99</v>
      </c>
      <c r="C75" s="2" t="s">
        <v>69</v>
      </c>
      <c r="D75" s="2" t="s">
        <v>55</v>
      </c>
      <c r="E75" s="2" t="s">
        <v>56</v>
      </c>
      <c r="F75" s="4" t="n">
        <v>1</v>
      </c>
      <c r="G75" s="5" t="n">
        <v>2.5</v>
      </c>
      <c r="H75" s="6" t="n">
        <f aca="false">IF(G75="","",F75*G75)</f>
        <v>2.5</v>
      </c>
      <c r="I75" s="2" t="s">
        <v>24</v>
      </c>
    </row>
    <row r="76" customFormat="false" ht="15" hidden="false" customHeight="false" outlineLevel="0" collapsed="false">
      <c r="A76" s="2" t="s">
        <v>98</v>
      </c>
      <c r="B76" s="2" t="s">
        <v>99</v>
      </c>
      <c r="C76" s="2" t="s">
        <v>69</v>
      </c>
      <c r="D76" s="2" t="s">
        <v>102</v>
      </c>
      <c r="E76" s="2" t="s">
        <v>103</v>
      </c>
      <c r="F76" s="4" t="n">
        <v>1</v>
      </c>
      <c r="G76" s="6" t="str">
        <f aca="false">IFERROR(IF(INDEX('New Components'!$D$2:$D$23,MATCH(E76,'New Components'!$A$2:$A$23,0))="","",INDEX('New Components'!$D$2:$D$23,MATCH(E76,'New Components'!$A$2:$A$23,0))),"")</f>
        <v/>
      </c>
      <c r="H76" s="6" t="str">
        <f aca="false">IF(G76="","",F76*G76)</f>
        <v/>
      </c>
      <c r="I76" s="2" t="s">
        <v>27</v>
      </c>
    </row>
    <row r="77" customFormat="false" ht="15" hidden="false" customHeight="false" outlineLevel="0" collapsed="false">
      <c r="A77" s="2" t="s">
        <v>98</v>
      </c>
      <c r="B77" s="2" t="s">
        <v>99</v>
      </c>
      <c r="C77" s="2" t="s">
        <v>69</v>
      </c>
      <c r="D77" s="2" t="s">
        <v>59</v>
      </c>
      <c r="E77" s="2" t="s">
        <v>60</v>
      </c>
      <c r="F77" s="4" t="n">
        <v>1</v>
      </c>
      <c r="G77" s="6" t="str">
        <f aca="false">IFERROR(IF(INDEX('New Components'!$D$2:$D$23,MATCH(E77,'New Components'!$A$2:$A$23,0))="","",INDEX('New Components'!$D$2:$D$23,MATCH(E77,'New Components'!$A$2:$A$23,0))),"")</f>
        <v/>
      </c>
      <c r="H77" s="6" t="str">
        <f aca="false">IF(G77="","",F77*G77)</f>
        <v/>
      </c>
      <c r="I77" s="2" t="s">
        <v>27</v>
      </c>
    </row>
    <row r="78" customFormat="false" ht="15" hidden="false" customHeight="false" outlineLevel="0" collapsed="false">
      <c r="A78" s="2" t="s">
        <v>98</v>
      </c>
      <c r="B78" s="2" t="s">
        <v>99</v>
      </c>
      <c r="C78" s="2" t="s">
        <v>69</v>
      </c>
      <c r="D78" s="2" t="s">
        <v>104</v>
      </c>
      <c r="E78" s="2" t="s">
        <v>105</v>
      </c>
      <c r="F78" s="4" t="n">
        <v>1</v>
      </c>
      <c r="G78" s="5" t="n">
        <v>7.23</v>
      </c>
      <c r="H78" s="6" t="n">
        <f aca="false">IF(G78="","",F78*G78)</f>
        <v>7.23</v>
      </c>
      <c r="I78" s="2" t="s">
        <v>34</v>
      </c>
    </row>
    <row r="79" customFormat="false" ht="15" hidden="false" customHeight="false" outlineLevel="0" collapsed="false">
      <c r="A79" s="2" t="s">
        <v>98</v>
      </c>
      <c r="B79" s="2" t="s">
        <v>99</v>
      </c>
      <c r="C79" s="2" t="s">
        <v>69</v>
      </c>
      <c r="D79" s="2" t="s">
        <v>82</v>
      </c>
      <c r="E79" s="2" t="s">
        <v>83</v>
      </c>
      <c r="F79" s="4" t="n">
        <v>1</v>
      </c>
      <c r="G79" s="6" t="str">
        <f aca="false">IFERROR(IF(INDEX('New Components'!$D$2:$D$23,MATCH(E79,'New Components'!$A$2:$A$23,0))="","",INDEX('New Components'!$D$2:$D$23,MATCH(E79,'New Components'!$A$2:$A$23,0))),"")</f>
        <v/>
      </c>
      <c r="H79" s="6" t="str">
        <f aca="false">IF(G79="","",F79*G79)</f>
        <v/>
      </c>
      <c r="I79" s="2" t="s">
        <v>27</v>
      </c>
    </row>
    <row r="80" customFormat="false" ht="15" hidden="false" customHeight="false" outlineLevel="0" collapsed="false">
      <c r="A80" s="2" t="s">
        <v>98</v>
      </c>
      <c r="B80" s="2" t="s">
        <v>99</v>
      </c>
      <c r="C80" s="2" t="s">
        <v>69</v>
      </c>
      <c r="D80" s="2" t="s">
        <v>37</v>
      </c>
      <c r="E80" s="2" t="s">
        <v>38</v>
      </c>
      <c r="F80" s="4" t="n">
        <v>1</v>
      </c>
      <c r="G80" s="6" t="str">
        <f aca="false">IFERROR(IF(INDEX('New Components'!$D$2:$D$23,MATCH(E80,'New Components'!$A$2:$A$23,0))="","",INDEX('New Components'!$D$2:$D$23,MATCH(E80,'New Components'!$A$2:$A$23,0))),"")</f>
        <v/>
      </c>
      <c r="H80" s="6" t="str">
        <f aca="false">IF(G80="","",F80*G80)</f>
        <v/>
      </c>
      <c r="I80" s="2" t="s">
        <v>27</v>
      </c>
    </row>
    <row r="81" customFormat="false" ht="15" hidden="false" customHeight="false" outlineLevel="0" collapsed="false">
      <c r="A81" s="2" t="s">
        <v>98</v>
      </c>
      <c r="B81" s="2" t="s">
        <v>99</v>
      </c>
      <c r="C81" s="2" t="s">
        <v>69</v>
      </c>
      <c r="D81" s="2" t="s">
        <v>39</v>
      </c>
      <c r="E81" s="2" t="s">
        <v>40</v>
      </c>
      <c r="F81" s="4" t="n">
        <v>1</v>
      </c>
      <c r="G81" s="6" t="str">
        <f aca="false">IFERROR(IF(INDEX('New Components'!$D$2:$D$23,MATCH(E81,'New Components'!$A$2:$A$23,0))="","",INDEX('New Components'!$D$2:$D$23,MATCH(E81,'New Components'!$A$2:$A$23,0))),"")</f>
        <v/>
      </c>
      <c r="H81" s="6" t="str">
        <f aca="false">IF(G81="","",F81*G81)</f>
        <v/>
      </c>
      <c r="I81" s="2" t="s">
        <v>27</v>
      </c>
    </row>
    <row r="82" customFormat="false" ht="15" hidden="false" customHeight="false" outlineLevel="0" collapsed="false">
      <c r="A82" s="2" t="s">
        <v>98</v>
      </c>
      <c r="B82" s="2" t="s">
        <v>99</v>
      </c>
      <c r="C82" s="2" t="s">
        <v>69</v>
      </c>
      <c r="D82" s="2" t="s">
        <v>41</v>
      </c>
      <c r="E82" s="2" t="s">
        <v>42</v>
      </c>
      <c r="F82" s="4" t="n">
        <v>1</v>
      </c>
      <c r="G82" s="5" t="n">
        <v>0.5</v>
      </c>
      <c r="H82" s="6" t="n">
        <f aca="false">IF(G82="","",F82*G82)</f>
        <v>0.5</v>
      </c>
      <c r="I82" s="2" t="s">
        <v>24</v>
      </c>
    </row>
    <row r="83" customFormat="false" ht="15" hidden="false" customHeight="false" outlineLevel="0" collapsed="false">
      <c r="A83" s="2" t="s">
        <v>98</v>
      </c>
      <c r="B83" s="2" t="s">
        <v>99</v>
      </c>
      <c r="C83" s="2" t="s">
        <v>69</v>
      </c>
      <c r="D83" s="2" t="s">
        <v>84</v>
      </c>
      <c r="E83" s="2" t="s">
        <v>85</v>
      </c>
      <c r="F83" s="4" t="n">
        <v>1</v>
      </c>
      <c r="G83" s="5" t="n">
        <v>0.25</v>
      </c>
      <c r="H83" s="6" t="n">
        <f aca="false">IF(G83="","",F83*G83)</f>
        <v>0.25</v>
      </c>
      <c r="I83" s="2" t="s">
        <v>24</v>
      </c>
    </row>
    <row r="84" customFormat="false" ht="15" hidden="false" customHeight="false" outlineLevel="0" collapsed="false">
      <c r="A84" s="2" t="s">
        <v>98</v>
      </c>
      <c r="B84" s="2" t="s">
        <v>99</v>
      </c>
      <c r="C84" s="2" t="s">
        <v>69</v>
      </c>
      <c r="D84" s="2" t="s">
        <v>86</v>
      </c>
      <c r="E84" s="2" t="s">
        <v>87</v>
      </c>
      <c r="F84" s="4" t="n">
        <v>1</v>
      </c>
      <c r="G84" s="5" t="n">
        <v>0.33</v>
      </c>
      <c r="H84" s="6" t="n">
        <f aca="false">IF(G84="","",F84*G84)</f>
        <v>0.33</v>
      </c>
      <c r="I84" s="2" t="s">
        <v>24</v>
      </c>
    </row>
    <row r="85" customFormat="false" ht="15" hidden="false" customHeight="false" outlineLevel="0" collapsed="false">
      <c r="A85" s="2" t="s">
        <v>106</v>
      </c>
      <c r="B85" s="2" t="s">
        <v>107</v>
      </c>
      <c r="C85" s="2" t="s">
        <v>21</v>
      </c>
      <c r="D85" s="2" t="s">
        <v>108</v>
      </c>
      <c r="E85" s="2" t="s">
        <v>109</v>
      </c>
      <c r="F85" s="4" t="n">
        <v>2</v>
      </c>
      <c r="G85" s="5" t="n">
        <v>4.58</v>
      </c>
      <c r="H85" s="6" t="n">
        <f aca="false">IF(G85="","",F85*G85)</f>
        <v>9.16</v>
      </c>
      <c r="I85" s="2" t="s">
        <v>24</v>
      </c>
    </row>
    <row r="86" customFormat="false" ht="15" hidden="false" customHeight="false" outlineLevel="0" collapsed="false">
      <c r="A86" s="2" t="s">
        <v>106</v>
      </c>
      <c r="B86" s="2" t="s">
        <v>107</v>
      </c>
      <c r="C86" s="2" t="s">
        <v>21</v>
      </c>
      <c r="D86" s="2" t="s">
        <v>110</v>
      </c>
      <c r="E86" s="2" t="s">
        <v>111</v>
      </c>
      <c r="F86" s="4" t="n">
        <v>2</v>
      </c>
      <c r="G86" s="6" t="str">
        <f aca="false">IFERROR(IF(INDEX('New Components'!$D$2:$D$23,MATCH(E86,'New Components'!$A$2:$A$23,0))="","",INDEX('New Components'!$D$2:$D$23,MATCH(E86,'New Components'!$A$2:$A$23,0))),"")</f>
        <v/>
      </c>
      <c r="H86" s="6" t="str">
        <f aca="false">IF(G86="","",F86*G86)</f>
        <v/>
      </c>
      <c r="I86" s="2" t="s">
        <v>27</v>
      </c>
    </row>
    <row r="87" customFormat="false" ht="15" hidden="false" customHeight="false" outlineLevel="0" collapsed="false">
      <c r="A87" s="2" t="s">
        <v>106</v>
      </c>
      <c r="B87" s="2" t="s">
        <v>107</v>
      </c>
      <c r="C87" s="2" t="s">
        <v>21</v>
      </c>
      <c r="D87" s="2" t="s">
        <v>96</v>
      </c>
      <c r="E87" s="2" t="s">
        <v>97</v>
      </c>
      <c r="F87" s="4" t="n">
        <v>1</v>
      </c>
      <c r="G87" s="5" t="n">
        <v>5</v>
      </c>
      <c r="H87" s="6" t="n">
        <f aca="false">IF(G87="","",F87*G87)</f>
        <v>5</v>
      </c>
      <c r="I87" s="2" t="s">
        <v>34</v>
      </c>
    </row>
    <row r="88" customFormat="false" ht="15" hidden="false" customHeight="false" outlineLevel="0" collapsed="false">
      <c r="A88" s="2" t="s">
        <v>106</v>
      </c>
      <c r="B88" s="2" t="s">
        <v>107</v>
      </c>
      <c r="C88" s="2" t="s">
        <v>21</v>
      </c>
      <c r="D88" s="2" t="s">
        <v>112</v>
      </c>
      <c r="E88" s="2" t="s">
        <v>113</v>
      </c>
      <c r="F88" s="4" t="n">
        <v>1</v>
      </c>
      <c r="G88" s="5" t="n">
        <v>3.52</v>
      </c>
      <c r="H88" s="6" t="n">
        <f aca="false">IF(G88="","",F88*G88)</f>
        <v>3.52</v>
      </c>
      <c r="I88" s="2" t="s">
        <v>34</v>
      </c>
    </row>
    <row r="89" customFormat="false" ht="15" hidden="false" customHeight="false" outlineLevel="0" collapsed="false">
      <c r="A89" s="2" t="s">
        <v>106</v>
      </c>
      <c r="B89" s="2" t="s">
        <v>107</v>
      </c>
      <c r="C89" s="2" t="s">
        <v>21</v>
      </c>
      <c r="D89" s="2" t="s">
        <v>104</v>
      </c>
      <c r="E89" s="2" t="s">
        <v>105</v>
      </c>
      <c r="F89" s="4" t="n">
        <v>1</v>
      </c>
      <c r="G89" s="5" t="n">
        <v>7.23</v>
      </c>
      <c r="H89" s="6" t="n">
        <f aca="false">IF(G89="","",F89*G89)</f>
        <v>7.23</v>
      </c>
      <c r="I89" s="2" t="s">
        <v>34</v>
      </c>
    </row>
    <row r="90" customFormat="false" ht="15" hidden="false" customHeight="false" outlineLevel="0" collapsed="false">
      <c r="A90" s="2" t="s">
        <v>106</v>
      </c>
      <c r="B90" s="2" t="s">
        <v>107</v>
      </c>
      <c r="C90" s="2" t="s">
        <v>21</v>
      </c>
      <c r="D90" s="2" t="s">
        <v>82</v>
      </c>
      <c r="E90" s="2" t="s">
        <v>83</v>
      </c>
      <c r="F90" s="4" t="n">
        <v>1</v>
      </c>
      <c r="G90" s="6" t="str">
        <f aca="false">IFERROR(IF(INDEX('New Components'!$D$2:$D$23,MATCH(E90,'New Components'!$A$2:$A$23,0))="","",INDEX('New Components'!$D$2:$D$23,MATCH(E90,'New Components'!$A$2:$A$23,0))),"")</f>
        <v/>
      </c>
      <c r="H90" s="6" t="str">
        <f aca="false">IF(G90="","",F90*G90)</f>
        <v/>
      </c>
      <c r="I90" s="2" t="s">
        <v>27</v>
      </c>
    </row>
    <row r="91" customFormat="false" ht="15" hidden="false" customHeight="false" outlineLevel="0" collapsed="false">
      <c r="A91" s="2" t="s">
        <v>106</v>
      </c>
      <c r="B91" s="2" t="s">
        <v>107</v>
      </c>
      <c r="C91" s="2" t="s">
        <v>21</v>
      </c>
      <c r="D91" s="2" t="s">
        <v>37</v>
      </c>
      <c r="E91" s="2" t="s">
        <v>38</v>
      </c>
      <c r="F91" s="4" t="n">
        <v>1</v>
      </c>
      <c r="G91" s="6" t="str">
        <f aca="false">IFERROR(IF(INDEX('New Components'!$D$2:$D$23,MATCH(E91,'New Components'!$A$2:$A$23,0))="","",INDEX('New Components'!$D$2:$D$23,MATCH(E91,'New Components'!$A$2:$A$23,0))),"")</f>
        <v/>
      </c>
      <c r="H91" s="6" t="str">
        <f aca="false">IF(G91="","",F91*G91)</f>
        <v/>
      </c>
      <c r="I91" s="2" t="s">
        <v>27</v>
      </c>
    </row>
    <row r="92" customFormat="false" ht="15" hidden="false" customHeight="false" outlineLevel="0" collapsed="false">
      <c r="A92" s="2" t="s">
        <v>106</v>
      </c>
      <c r="B92" s="2" t="s">
        <v>107</v>
      </c>
      <c r="C92" s="2" t="s">
        <v>21</v>
      </c>
      <c r="D92" s="2" t="s">
        <v>39</v>
      </c>
      <c r="E92" s="2" t="s">
        <v>40</v>
      </c>
      <c r="F92" s="4" t="n">
        <v>1</v>
      </c>
      <c r="G92" s="6" t="str">
        <f aca="false">IFERROR(IF(INDEX('New Components'!$D$2:$D$23,MATCH(E92,'New Components'!$A$2:$A$23,0))="","",INDEX('New Components'!$D$2:$D$23,MATCH(E92,'New Components'!$A$2:$A$23,0))),"")</f>
        <v/>
      </c>
      <c r="H92" s="6" t="str">
        <f aca="false">IF(G92="","",F92*G92)</f>
        <v/>
      </c>
      <c r="I92" s="2" t="s">
        <v>27</v>
      </c>
    </row>
    <row r="93" customFormat="false" ht="15" hidden="false" customHeight="false" outlineLevel="0" collapsed="false">
      <c r="A93" s="2" t="s">
        <v>106</v>
      </c>
      <c r="B93" s="2" t="s">
        <v>107</v>
      </c>
      <c r="C93" s="2" t="s">
        <v>21</v>
      </c>
      <c r="D93" s="2" t="s">
        <v>41</v>
      </c>
      <c r="E93" s="2" t="s">
        <v>42</v>
      </c>
      <c r="F93" s="4" t="n">
        <v>1</v>
      </c>
      <c r="G93" s="5" t="n">
        <v>0.5</v>
      </c>
      <c r="H93" s="6" t="n">
        <f aca="false">IF(G93="","",F93*G93)</f>
        <v>0.5</v>
      </c>
      <c r="I93" s="2" t="s">
        <v>24</v>
      </c>
    </row>
    <row r="94" customFormat="false" ht="15" hidden="false" customHeight="false" outlineLevel="0" collapsed="false">
      <c r="A94" s="2" t="s">
        <v>106</v>
      </c>
      <c r="B94" s="2" t="s">
        <v>107</v>
      </c>
      <c r="C94" s="2" t="s">
        <v>21</v>
      </c>
      <c r="D94" s="2" t="s">
        <v>84</v>
      </c>
      <c r="E94" s="2" t="s">
        <v>85</v>
      </c>
      <c r="F94" s="4" t="n">
        <v>1</v>
      </c>
      <c r="G94" s="5" t="n">
        <v>0.25</v>
      </c>
      <c r="H94" s="6" t="n">
        <f aca="false">IF(G94="","",F94*G94)</f>
        <v>0.25</v>
      </c>
      <c r="I94" s="2" t="s">
        <v>24</v>
      </c>
    </row>
    <row r="95" customFormat="false" ht="15" hidden="false" customHeight="false" outlineLevel="0" collapsed="false">
      <c r="A95" s="2" t="s">
        <v>106</v>
      </c>
      <c r="B95" s="2" t="s">
        <v>107</v>
      </c>
      <c r="C95" s="2" t="s">
        <v>21</v>
      </c>
      <c r="D95" s="2" t="s">
        <v>86</v>
      </c>
      <c r="E95" s="2" t="s">
        <v>87</v>
      </c>
      <c r="F95" s="4" t="n">
        <v>1</v>
      </c>
      <c r="G95" s="5" t="n">
        <v>0.33</v>
      </c>
      <c r="H95" s="6" t="n">
        <f aca="false">IF(G95="","",F95*G95)</f>
        <v>0.33</v>
      </c>
      <c r="I95" s="2" t="s">
        <v>24</v>
      </c>
    </row>
    <row r="96" customFormat="false" ht="15" hidden="false" customHeight="false" outlineLevel="0" collapsed="false">
      <c r="A96" s="2" t="s">
        <v>106</v>
      </c>
      <c r="B96" s="2" t="s">
        <v>114</v>
      </c>
      <c r="C96" s="2" t="s">
        <v>115</v>
      </c>
      <c r="D96" s="2" t="s">
        <v>108</v>
      </c>
      <c r="E96" s="2" t="s">
        <v>109</v>
      </c>
      <c r="F96" s="4" t="n">
        <v>2</v>
      </c>
      <c r="G96" s="5" t="n">
        <v>4.58</v>
      </c>
      <c r="H96" s="6" t="n">
        <f aca="false">IF(G96="","",F96*G96)</f>
        <v>9.16</v>
      </c>
      <c r="I96" s="2" t="s">
        <v>24</v>
      </c>
    </row>
    <row r="97" customFormat="false" ht="15" hidden="false" customHeight="false" outlineLevel="0" collapsed="false">
      <c r="A97" s="2" t="s">
        <v>106</v>
      </c>
      <c r="B97" s="2" t="s">
        <v>114</v>
      </c>
      <c r="C97" s="2" t="s">
        <v>115</v>
      </c>
      <c r="D97" s="2" t="s">
        <v>96</v>
      </c>
      <c r="E97" s="2" t="s">
        <v>97</v>
      </c>
      <c r="F97" s="4" t="n">
        <v>1</v>
      </c>
      <c r="G97" s="5" t="n">
        <v>5</v>
      </c>
      <c r="H97" s="6" t="n">
        <f aca="false">IF(G97="","",F97*G97)</f>
        <v>5</v>
      </c>
      <c r="I97" s="2" t="s">
        <v>34</v>
      </c>
    </row>
    <row r="98" customFormat="false" ht="15" hidden="false" customHeight="false" outlineLevel="0" collapsed="false">
      <c r="A98" s="2" t="s">
        <v>106</v>
      </c>
      <c r="B98" s="2" t="s">
        <v>114</v>
      </c>
      <c r="C98" s="2" t="s">
        <v>115</v>
      </c>
      <c r="D98" s="2" t="s">
        <v>112</v>
      </c>
      <c r="E98" s="2" t="s">
        <v>113</v>
      </c>
      <c r="F98" s="4" t="n">
        <v>1</v>
      </c>
      <c r="G98" s="5" t="n">
        <v>3.52</v>
      </c>
      <c r="H98" s="6" t="n">
        <f aca="false">IF(G98="","",F98*G98)</f>
        <v>3.52</v>
      </c>
      <c r="I98" s="2" t="s">
        <v>34</v>
      </c>
    </row>
    <row r="99" customFormat="false" ht="15" hidden="false" customHeight="false" outlineLevel="0" collapsed="false">
      <c r="A99" s="2" t="s">
        <v>106</v>
      </c>
      <c r="B99" s="2" t="s">
        <v>114</v>
      </c>
      <c r="C99" s="2" t="s">
        <v>115</v>
      </c>
      <c r="D99" s="2" t="s">
        <v>104</v>
      </c>
      <c r="E99" s="2" t="s">
        <v>105</v>
      </c>
      <c r="F99" s="4" t="n">
        <v>1</v>
      </c>
      <c r="G99" s="5" t="n">
        <v>7.23</v>
      </c>
      <c r="H99" s="6" t="n">
        <f aca="false">IF(G99="","",F99*G99)</f>
        <v>7.23</v>
      </c>
      <c r="I99" s="2" t="s">
        <v>34</v>
      </c>
    </row>
    <row r="100" customFormat="false" ht="15" hidden="false" customHeight="false" outlineLevel="0" collapsed="false">
      <c r="A100" s="2" t="s">
        <v>106</v>
      </c>
      <c r="B100" s="2" t="s">
        <v>114</v>
      </c>
      <c r="C100" s="2" t="s">
        <v>115</v>
      </c>
      <c r="D100" s="2" t="s">
        <v>116</v>
      </c>
      <c r="E100" s="2" t="s">
        <v>117</v>
      </c>
      <c r="F100" s="4" t="n">
        <v>2</v>
      </c>
      <c r="G100" s="6" t="str">
        <f aca="false">IFERROR(IF(INDEX('New Components'!$D$2:$D$23,MATCH(E100,'New Components'!$A$2:$A$23,0))="","",INDEX('New Components'!$D$2:$D$23,MATCH(E100,'New Components'!$A$2:$A$23,0))),"")</f>
        <v/>
      </c>
      <c r="H100" s="6" t="str">
        <f aca="false">IF(G100="","",F100*G100)</f>
        <v/>
      </c>
      <c r="I100" s="2" t="s">
        <v>27</v>
      </c>
    </row>
    <row r="101" customFormat="false" ht="15" hidden="false" customHeight="false" outlineLevel="0" collapsed="false">
      <c r="A101" s="2" t="s">
        <v>106</v>
      </c>
      <c r="B101" s="2" t="s">
        <v>114</v>
      </c>
      <c r="C101" s="2" t="s">
        <v>115</v>
      </c>
      <c r="D101" s="2" t="s">
        <v>82</v>
      </c>
      <c r="E101" s="2" t="s">
        <v>83</v>
      </c>
      <c r="F101" s="4" t="n">
        <v>1</v>
      </c>
      <c r="G101" s="6" t="str">
        <f aca="false">IFERROR(IF(INDEX('New Components'!$D$2:$D$23,MATCH(E101,'New Components'!$A$2:$A$23,0))="","",INDEX('New Components'!$D$2:$D$23,MATCH(E101,'New Components'!$A$2:$A$23,0))),"")</f>
        <v/>
      </c>
      <c r="H101" s="6" t="str">
        <f aca="false">IF(G101="","",F101*G101)</f>
        <v/>
      </c>
      <c r="I101" s="2" t="s">
        <v>27</v>
      </c>
    </row>
    <row r="102" customFormat="false" ht="15" hidden="false" customHeight="false" outlineLevel="0" collapsed="false">
      <c r="A102" s="2" t="s">
        <v>106</v>
      </c>
      <c r="B102" s="2" t="s">
        <v>114</v>
      </c>
      <c r="C102" s="2" t="s">
        <v>115</v>
      </c>
      <c r="D102" s="2" t="s">
        <v>37</v>
      </c>
      <c r="E102" s="2" t="s">
        <v>38</v>
      </c>
      <c r="F102" s="4" t="n">
        <v>1</v>
      </c>
      <c r="G102" s="6" t="str">
        <f aca="false">IFERROR(IF(INDEX('New Components'!$D$2:$D$23,MATCH(E102,'New Components'!$A$2:$A$23,0))="","",INDEX('New Components'!$D$2:$D$23,MATCH(E102,'New Components'!$A$2:$A$23,0))),"")</f>
        <v/>
      </c>
      <c r="H102" s="6" t="str">
        <f aca="false">IF(G102="","",F102*G102)</f>
        <v/>
      </c>
      <c r="I102" s="2" t="s">
        <v>27</v>
      </c>
    </row>
    <row r="103" customFormat="false" ht="15" hidden="false" customHeight="false" outlineLevel="0" collapsed="false">
      <c r="A103" s="2" t="s">
        <v>106</v>
      </c>
      <c r="B103" s="2" t="s">
        <v>114</v>
      </c>
      <c r="C103" s="2" t="s">
        <v>115</v>
      </c>
      <c r="D103" s="2" t="s">
        <v>39</v>
      </c>
      <c r="E103" s="2" t="s">
        <v>40</v>
      </c>
      <c r="F103" s="4" t="n">
        <v>1</v>
      </c>
      <c r="G103" s="6" t="str">
        <f aca="false">IFERROR(IF(INDEX('New Components'!$D$2:$D$23,MATCH(E103,'New Components'!$A$2:$A$23,0))="","",INDEX('New Components'!$D$2:$D$23,MATCH(E103,'New Components'!$A$2:$A$23,0))),"")</f>
        <v/>
      </c>
      <c r="H103" s="6" t="str">
        <f aca="false">IF(G103="","",F103*G103)</f>
        <v/>
      </c>
      <c r="I103" s="2" t="s">
        <v>27</v>
      </c>
    </row>
    <row r="104" customFormat="false" ht="15" hidden="false" customHeight="false" outlineLevel="0" collapsed="false">
      <c r="A104" s="2" t="s">
        <v>106</v>
      </c>
      <c r="B104" s="2" t="s">
        <v>114</v>
      </c>
      <c r="C104" s="2" t="s">
        <v>115</v>
      </c>
      <c r="D104" s="2" t="s">
        <v>41</v>
      </c>
      <c r="E104" s="2" t="s">
        <v>42</v>
      </c>
      <c r="F104" s="4" t="n">
        <v>1</v>
      </c>
      <c r="G104" s="5" t="n">
        <v>0.5</v>
      </c>
      <c r="H104" s="6" t="n">
        <f aca="false">IF(G104="","",F104*G104)</f>
        <v>0.5</v>
      </c>
      <c r="I104" s="2" t="s">
        <v>24</v>
      </c>
    </row>
    <row r="105" customFormat="false" ht="15" hidden="false" customHeight="false" outlineLevel="0" collapsed="false">
      <c r="A105" s="2" t="s">
        <v>106</v>
      </c>
      <c r="B105" s="2" t="s">
        <v>114</v>
      </c>
      <c r="C105" s="2" t="s">
        <v>115</v>
      </c>
      <c r="D105" s="2" t="s">
        <v>84</v>
      </c>
      <c r="E105" s="2" t="s">
        <v>85</v>
      </c>
      <c r="F105" s="4" t="n">
        <v>1</v>
      </c>
      <c r="G105" s="5" t="n">
        <v>0.25</v>
      </c>
      <c r="H105" s="6" t="n">
        <f aca="false">IF(G105="","",F105*G105)</f>
        <v>0.25</v>
      </c>
      <c r="I105" s="2" t="s">
        <v>24</v>
      </c>
    </row>
    <row r="106" customFormat="false" ht="15" hidden="false" customHeight="false" outlineLevel="0" collapsed="false">
      <c r="A106" s="2" t="s">
        <v>106</v>
      </c>
      <c r="B106" s="2" t="s">
        <v>114</v>
      </c>
      <c r="C106" s="2" t="s">
        <v>115</v>
      </c>
      <c r="D106" s="2" t="s">
        <v>86</v>
      </c>
      <c r="E106" s="2" t="s">
        <v>87</v>
      </c>
      <c r="F106" s="4" t="n">
        <v>1</v>
      </c>
      <c r="G106" s="5" t="n">
        <v>0.33</v>
      </c>
      <c r="H106" s="6" t="n">
        <f aca="false">IF(G106="","",F106*G106)</f>
        <v>0.33</v>
      </c>
      <c r="I106" s="2" t="s">
        <v>24</v>
      </c>
    </row>
    <row r="107" customFormat="false" ht="15" hidden="false" customHeight="false" outlineLevel="0" collapsed="false">
      <c r="A107" s="2" t="s">
        <v>118</v>
      </c>
      <c r="B107" s="2" t="s">
        <v>119</v>
      </c>
      <c r="C107" s="2" t="s">
        <v>21</v>
      </c>
      <c r="D107" s="2" t="s">
        <v>120</v>
      </c>
      <c r="E107" s="2" t="s">
        <v>121</v>
      </c>
      <c r="F107" s="4" t="n">
        <v>1</v>
      </c>
      <c r="G107" s="5" t="n">
        <v>3.1</v>
      </c>
      <c r="H107" s="6" t="n">
        <f aca="false">IF(G107="","",F107*G107)</f>
        <v>3.1</v>
      </c>
      <c r="I107" s="2" t="s">
        <v>24</v>
      </c>
    </row>
    <row r="108" customFormat="false" ht="15" hidden="false" customHeight="false" outlineLevel="0" collapsed="false">
      <c r="A108" s="2" t="s">
        <v>118</v>
      </c>
      <c r="B108" s="2" t="s">
        <v>119</v>
      </c>
      <c r="C108" s="2" t="s">
        <v>21</v>
      </c>
      <c r="D108" s="2" t="s">
        <v>122</v>
      </c>
      <c r="E108" s="2" t="s">
        <v>123</v>
      </c>
      <c r="F108" s="4" t="n">
        <v>1</v>
      </c>
      <c r="G108" s="5" t="n">
        <v>1.42</v>
      </c>
      <c r="H108" s="6" t="n">
        <f aca="false">IF(G108="","",F108*G108)</f>
        <v>1.42</v>
      </c>
      <c r="I108" s="2" t="s">
        <v>24</v>
      </c>
    </row>
    <row r="109" customFormat="false" ht="15" hidden="false" customHeight="false" outlineLevel="0" collapsed="false">
      <c r="A109" s="2" t="s">
        <v>118</v>
      </c>
      <c r="B109" s="2" t="s">
        <v>119</v>
      </c>
      <c r="C109" s="2" t="s">
        <v>21</v>
      </c>
      <c r="D109" s="2" t="s">
        <v>108</v>
      </c>
      <c r="E109" s="2" t="s">
        <v>109</v>
      </c>
      <c r="F109" s="4" t="n">
        <v>1</v>
      </c>
      <c r="G109" s="5" t="n">
        <v>4.58</v>
      </c>
      <c r="H109" s="6" t="n">
        <f aca="false">IF(G109="","",F109*G109)</f>
        <v>4.58</v>
      </c>
      <c r="I109" s="2" t="s">
        <v>24</v>
      </c>
    </row>
    <row r="110" customFormat="false" ht="15" hidden="false" customHeight="false" outlineLevel="0" collapsed="false">
      <c r="A110" s="2" t="s">
        <v>118</v>
      </c>
      <c r="B110" s="2" t="s">
        <v>119</v>
      </c>
      <c r="C110" s="2" t="s">
        <v>21</v>
      </c>
      <c r="D110" s="2" t="s">
        <v>32</v>
      </c>
      <c r="E110" s="2" t="s">
        <v>33</v>
      </c>
      <c r="F110" s="4" t="n">
        <v>1</v>
      </c>
      <c r="G110" s="5" t="n">
        <v>4</v>
      </c>
      <c r="H110" s="6" t="n">
        <f aca="false">IF(G110="","",F110*G110)</f>
        <v>4</v>
      </c>
      <c r="I110" s="2" t="s">
        <v>34</v>
      </c>
    </row>
    <row r="111" customFormat="false" ht="15" hidden="false" customHeight="false" outlineLevel="0" collapsed="false">
      <c r="A111" s="2" t="s">
        <v>118</v>
      </c>
      <c r="B111" s="2" t="s">
        <v>119</v>
      </c>
      <c r="C111" s="2" t="s">
        <v>21</v>
      </c>
      <c r="D111" s="2" t="s">
        <v>35</v>
      </c>
      <c r="E111" s="2" t="s">
        <v>36</v>
      </c>
      <c r="F111" s="4" t="n">
        <v>1</v>
      </c>
      <c r="G111" s="6" t="str">
        <f aca="false">IFERROR(IF(INDEX('New Components'!$D$2:$D$23,MATCH(E111,'New Components'!$A$2:$A$23,0))="","",INDEX('New Components'!$D$2:$D$23,MATCH(E111,'New Components'!$A$2:$A$23,0))),"")</f>
        <v/>
      </c>
      <c r="H111" s="6" t="str">
        <f aca="false">IF(G111="","",F111*G111)</f>
        <v/>
      </c>
      <c r="I111" s="2" t="s">
        <v>27</v>
      </c>
    </row>
    <row r="112" customFormat="false" ht="15" hidden="false" customHeight="false" outlineLevel="0" collapsed="false">
      <c r="A112" s="2" t="s">
        <v>118</v>
      </c>
      <c r="B112" s="2" t="s">
        <v>119</v>
      </c>
      <c r="C112" s="2" t="s">
        <v>21</v>
      </c>
      <c r="D112" s="2" t="s">
        <v>37</v>
      </c>
      <c r="E112" s="2" t="s">
        <v>38</v>
      </c>
      <c r="F112" s="4" t="n">
        <v>1</v>
      </c>
      <c r="G112" s="6" t="str">
        <f aca="false">IFERROR(IF(INDEX('New Components'!$D$2:$D$23,MATCH(E112,'New Components'!$A$2:$A$23,0))="","",INDEX('New Components'!$D$2:$D$23,MATCH(E112,'New Components'!$A$2:$A$23,0))),"")</f>
        <v/>
      </c>
      <c r="H112" s="6" t="str">
        <f aca="false">IF(G112="","",F112*G112)</f>
        <v/>
      </c>
      <c r="I112" s="2" t="s">
        <v>27</v>
      </c>
    </row>
    <row r="113" customFormat="false" ht="15" hidden="false" customHeight="false" outlineLevel="0" collapsed="false">
      <c r="A113" s="2" t="s">
        <v>118</v>
      </c>
      <c r="B113" s="2" t="s">
        <v>119</v>
      </c>
      <c r="C113" s="2" t="s">
        <v>21</v>
      </c>
      <c r="D113" s="2" t="s">
        <v>39</v>
      </c>
      <c r="E113" s="2" t="s">
        <v>40</v>
      </c>
      <c r="F113" s="4" t="n">
        <v>1</v>
      </c>
      <c r="G113" s="6" t="str">
        <f aca="false">IFERROR(IF(INDEX('New Components'!$D$2:$D$23,MATCH(E113,'New Components'!$A$2:$A$23,0))="","",INDEX('New Components'!$D$2:$D$23,MATCH(E113,'New Components'!$A$2:$A$23,0))),"")</f>
        <v/>
      </c>
      <c r="H113" s="6" t="str">
        <f aca="false">IF(G113="","",F113*G113)</f>
        <v/>
      </c>
      <c r="I113" s="2" t="s">
        <v>27</v>
      </c>
    </row>
    <row r="114" customFormat="false" ht="15" hidden="false" customHeight="false" outlineLevel="0" collapsed="false">
      <c r="A114" s="2" t="s">
        <v>118</v>
      </c>
      <c r="B114" s="2" t="s">
        <v>119</v>
      </c>
      <c r="C114" s="2" t="s">
        <v>21</v>
      </c>
      <c r="D114" s="2" t="s">
        <v>41</v>
      </c>
      <c r="E114" s="2" t="s">
        <v>42</v>
      </c>
      <c r="F114" s="4" t="n">
        <v>1</v>
      </c>
      <c r="G114" s="5" t="n">
        <v>0.5</v>
      </c>
      <c r="H114" s="6" t="n">
        <f aca="false">IF(G114="","",F114*G114)</f>
        <v>0.5</v>
      </c>
      <c r="I114" s="2" t="s">
        <v>24</v>
      </c>
    </row>
    <row r="115" customFormat="false" ht="15" hidden="false" customHeight="false" outlineLevel="0" collapsed="false">
      <c r="A115" s="2" t="s">
        <v>118</v>
      </c>
      <c r="B115" s="2" t="s">
        <v>119</v>
      </c>
      <c r="C115" s="2" t="s">
        <v>21</v>
      </c>
      <c r="D115" s="2" t="s">
        <v>43</v>
      </c>
      <c r="E115" s="2" t="s">
        <v>44</v>
      </c>
      <c r="F115" s="4" t="n">
        <v>1</v>
      </c>
      <c r="G115" s="5" t="n">
        <v>0.25</v>
      </c>
      <c r="H115" s="6" t="n">
        <f aca="false">IF(G115="","",F115*G115)</f>
        <v>0.25</v>
      </c>
      <c r="I115" s="2" t="s">
        <v>24</v>
      </c>
    </row>
    <row r="116" customFormat="false" ht="15" hidden="false" customHeight="false" outlineLevel="0" collapsed="false">
      <c r="A116" s="2" t="s">
        <v>118</v>
      </c>
      <c r="B116" s="2" t="s">
        <v>119</v>
      </c>
      <c r="C116" s="2" t="s">
        <v>21</v>
      </c>
      <c r="D116" s="2" t="s">
        <v>45</v>
      </c>
      <c r="E116" s="2" t="s">
        <v>46</v>
      </c>
      <c r="F116" s="4" t="n">
        <v>1</v>
      </c>
      <c r="G116" s="5" t="n">
        <v>0.33</v>
      </c>
      <c r="H116" s="6" t="n">
        <f aca="false">IF(G116="","",F116*G116)</f>
        <v>0.33</v>
      </c>
      <c r="I116" s="2" t="s">
        <v>24</v>
      </c>
    </row>
    <row r="117" customFormat="false" ht="15" hidden="false" customHeight="false" outlineLevel="0" collapsed="false">
      <c r="A117" s="2" t="s">
        <v>118</v>
      </c>
      <c r="B117" s="2" t="s">
        <v>124</v>
      </c>
      <c r="C117" s="2" t="s">
        <v>125</v>
      </c>
      <c r="D117" s="2" t="s">
        <v>122</v>
      </c>
      <c r="E117" s="2" t="s">
        <v>123</v>
      </c>
      <c r="F117" s="4" t="n">
        <v>1</v>
      </c>
      <c r="G117" s="5" t="n">
        <v>1.42</v>
      </c>
      <c r="H117" s="6" t="n">
        <f aca="false">IF(G117="","",F117*G117)</f>
        <v>1.42</v>
      </c>
      <c r="I117" s="2" t="s">
        <v>24</v>
      </c>
    </row>
    <row r="118" customFormat="false" ht="15" hidden="false" customHeight="false" outlineLevel="0" collapsed="false">
      <c r="A118" s="2" t="s">
        <v>118</v>
      </c>
      <c r="B118" s="2" t="s">
        <v>124</v>
      </c>
      <c r="C118" s="2" t="s">
        <v>125</v>
      </c>
      <c r="D118" s="2" t="s">
        <v>108</v>
      </c>
      <c r="E118" s="2" t="s">
        <v>109</v>
      </c>
      <c r="F118" s="4" t="n">
        <v>1</v>
      </c>
      <c r="G118" s="5" t="n">
        <v>4.58</v>
      </c>
      <c r="H118" s="6" t="n">
        <f aca="false">IF(G118="","",F118*G118)</f>
        <v>4.58</v>
      </c>
      <c r="I118" s="2" t="s">
        <v>24</v>
      </c>
    </row>
    <row r="119" customFormat="false" ht="15" hidden="false" customHeight="false" outlineLevel="0" collapsed="false">
      <c r="A119" s="2" t="s">
        <v>118</v>
      </c>
      <c r="B119" s="2" t="s">
        <v>124</v>
      </c>
      <c r="C119" s="2" t="s">
        <v>125</v>
      </c>
      <c r="D119" s="2" t="s">
        <v>32</v>
      </c>
      <c r="E119" s="2" t="s">
        <v>33</v>
      </c>
      <c r="F119" s="4" t="n">
        <v>1</v>
      </c>
      <c r="G119" s="5" t="n">
        <v>4</v>
      </c>
      <c r="H119" s="6" t="n">
        <f aca="false">IF(G119="","",F119*G119)</f>
        <v>4</v>
      </c>
      <c r="I119" s="2" t="s">
        <v>34</v>
      </c>
    </row>
    <row r="120" customFormat="false" ht="15" hidden="false" customHeight="false" outlineLevel="0" collapsed="false">
      <c r="A120" s="2" t="s">
        <v>118</v>
      </c>
      <c r="B120" s="2" t="s">
        <v>124</v>
      </c>
      <c r="C120" s="2" t="s">
        <v>125</v>
      </c>
      <c r="D120" s="2" t="s">
        <v>126</v>
      </c>
      <c r="E120" s="2" t="s">
        <v>127</v>
      </c>
      <c r="F120" s="4" t="n">
        <v>1</v>
      </c>
      <c r="G120" s="6" t="str">
        <f aca="false">IFERROR(IF(INDEX('New Components'!$D$2:$D$23,MATCH(E120,'New Components'!$A$2:$A$23,0))="","",INDEX('New Components'!$D$2:$D$23,MATCH(E120,'New Components'!$A$2:$A$23,0))),"")</f>
        <v/>
      </c>
      <c r="H120" s="6" t="str">
        <f aca="false">IF(G120="","",F120*G120)</f>
        <v/>
      </c>
      <c r="I120" s="2" t="s">
        <v>27</v>
      </c>
    </row>
    <row r="121" customFormat="false" ht="15" hidden="false" customHeight="false" outlineLevel="0" collapsed="false">
      <c r="A121" s="2" t="s">
        <v>118</v>
      </c>
      <c r="B121" s="2" t="s">
        <v>124</v>
      </c>
      <c r="C121" s="2" t="s">
        <v>125</v>
      </c>
      <c r="D121" s="2" t="s">
        <v>35</v>
      </c>
      <c r="E121" s="2" t="s">
        <v>36</v>
      </c>
      <c r="F121" s="4" t="n">
        <v>1</v>
      </c>
      <c r="G121" s="6" t="str">
        <f aca="false">IFERROR(IF(INDEX('New Components'!$D$2:$D$23,MATCH(E121,'New Components'!$A$2:$A$23,0))="","",INDEX('New Components'!$D$2:$D$23,MATCH(E121,'New Components'!$A$2:$A$23,0))),"")</f>
        <v/>
      </c>
      <c r="H121" s="6" t="str">
        <f aca="false">IF(G121="","",F121*G121)</f>
        <v/>
      </c>
      <c r="I121" s="2" t="s">
        <v>27</v>
      </c>
    </row>
    <row r="122" customFormat="false" ht="15" hidden="false" customHeight="false" outlineLevel="0" collapsed="false">
      <c r="A122" s="2" t="s">
        <v>118</v>
      </c>
      <c r="B122" s="2" t="s">
        <v>124</v>
      </c>
      <c r="C122" s="2" t="s">
        <v>125</v>
      </c>
      <c r="D122" s="2" t="s">
        <v>37</v>
      </c>
      <c r="E122" s="2" t="s">
        <v>38</v>
      </c>
      <c r="F122" s="4" t="n">
        <v>1</v>
      </c>
      <c r="G122" s="6" t="str">
        <f aca="false">IFERROR(IF(INDEX('New Components'!$D$2:$D$23,MATCH(E122,'New Components'!$A$2:$A$23,0))="","",INDEX('New Components'!$D$2:$D$23,MATCH(E122,'New Components'!$A$2:$A$23,0))),"")</f>
        <v/>
      </c>
      <c r="H122" s="6" t="str">
        <f aca="false">IF(G122="","",F122*G122)</f>
        <v/>
      </c>
      <c r="I122" s="2" t="s">
        <v>27</v>
      </c>
    </row>
    <row r="123" customFormat="false" ht="15" hidden="false" customHeight="false" outlineLevel="0" collapsed="false">
      <c r="A123" s="2" t="s">
        <v>118</v>
      </c>
      <c r="B123" s="2" t="s">
        <v>124</v>
      </c>
      <c r="C123" s="2" t="s">
        <v>125</v>
      </c>
      <c r="D123" s="2" t="s">
        <v>39</v>
      </c>
      <c r="E123" s="2" t="s">
        <v>40</v>
      </c>
      <c r="F123" s="4" t="n">
        <v>1</v>
      </c>
      <c r="G123" s="6" t="str">
        <f aca="false">IFERROR(IF(INDEX('New Components'!$D$2:$D$23,MATCH(E123,'New Components'!$A$2:$A$23,0))="","",INDEX('New Components'!$D$2:$D$23,MATCH(E123,'New Components'!$A$2:$A$23,0))),"")</f>
        <v/>
      </c>
      <c r="H123" s="6" t="str">
        <f aca="false">IF(G123="","",F123*G123)</f>
        <v/>
      </c>
      <c r="I123" s="2" t="s">
        <v>27</v>
      </c>
    </row>
    <row r="124" customFormat="false" ht="15" hidden="false" customHeight="false" outlineLevel="0" collapsed="false">
      <c r="A124" s="2" t="s">
        <v>118</v>
      </c>
      <c r="B124" s="2" t="s">
        <v>124</v>
      </c>
      <c r="C124" s="2" t="s">
        <v>125</v>
      </c>
      <c r="D124" s="2" t="s">
        <v>41</v>
      </c>
      <c r="E124" s="2" t="s">
        <v>42</v>
      </c>
      <c r="F124" s="4" t="n">
        <v>1</v>
      </c>
      <c r="G124" s="5" t="n">
        <v>0.5</v>
      </c>
      <c r="H124" s="6" t="n">
        <f aca="false">IF(G124="","",F124*G124)</f>
        <v>0.5</v>
      </c>
      <c r="I124" s="2" t="s">
        <v>24</v>
      </c>
    </row>
    <row r="125" customFormat="false" ht="15" hidden="false" customHeight="false" outlineLevel="0" collapsed="false">
      <c r="A125" s="2" t="s">
        <v>118</v>
      </c>
      <c r="B125" s="2" t="s">
        <v>124</v>
      </c>
      <c r="C125" s="2" t="s">
        <v>125</v>
      </c>
      <c r="D125" s="2" t="s">
        <v>43</v>
      </c>
      <c r="E125" s="2" t="s">
        <v>44</v>
      </c>
      <c r="F125" s="4" t="n">
        <v>1</v>
      </c>
      <c r="G125" s="5" t="n">
        <v>0.25</v>
      </c>
      <c r="H125" s="6" t="n">
        <f aca="false">IF(G125="","",F125*G125)</f>
        <v>0.25</v>
      </c>
      <c r="I125" s="2" t="s">
        <v>24</v>
      </c>
    </row>
    <row r="126" customFormat="false" ht="15" hidden="false" customHeight="false" outlineLevel="0" collapsed="false">
      <c r="A126" s="2" t="s">
        <v>118</v>
      </c>
      <c r="B126" s="2" t="s">
        <v>124</v>
      </c>
      <c r="C126" s="2" t="s">
        <v>125</v>
      </c>
      <c r="D126" s="2" t="s">
        <v>45</v>
      </c>
      <c r="E126" s="2" t="s">
        <v>46</v>
      </c>
      <c r="F126" s="4" t="n">
        <v>1</v>
      </c>
      <c r="G126" s="5" t="n">
        <v>0.33</v>
      </c>
      <c r="H126" s="6" t="n">
        <f aca="false">IF(G126="","",F126*G126)</f>
        <v>0.33</v>
      </c>
      <c r="I126" s="2" t="s">
        <v>24</v>
      </c>
    </row>
    <row r="127" customFormat="false" ht="15" hidden="false" customHeight="false" outlineLevel="0" collapsed="false">
      <c r="A127" s="2" t="s">
        <v>128</v>
      </c>
      <c r="B127" s="2" t="s">
        <v>129</v>
      </c>
      <c r="C127" s="2" t="s">
        <v>69</v>
      </c>
      <c r="D127" s="2" t="s">
        <v>104</v>
      </c>
      <c r="E127" s="2" t="s">
        <v>105</v>
      </c>
      <c r="F127" s="4" t="n">
        <v>1</v>
      </c>
      <c r="G127" s="5" t="n">
        <v>7.23</v>
      </c>
      <c r="H127" s="6" t="n">
        <f aca="false">IF(G127="","",F127*G127)</f>
        <v>7.23</v>
      </c>
      <c r="I127" s="2" t="s">
        <v>34</v>
      </c>
    </row>
    <row r="128" customFormat="false" ht="15" hidden="false" customHeight="false" outlineLevel="0" collapsed="false">
      <c r="A128" s="2" t="s">
        <v>128</v>
      </c>
      <c r="B128" s="2" t="s">
        <v>129</v>
      </c>
      <c r="C128" s="2" t="s">
        <v>69</v>
      </c>
      <c r="D128" s="2" t="s">
        <v>96</v>
      </c>
      <c r="E128" s="2" t="s">
        <v>97</v>
      </c>
      <c r="F128" s="4" t="n">
        <v>1</v>
      </c>
      <c r="G128" s="5" t="n">
        <v>5</v>
      </c>
      <c r="H128" s="6" t="n">
        <f aca="false">IF(G128="","",F128*G128)</f>
        <v>5</v>
      </c>
      <c r="I128" s="2" t="s">
        <v>34</v>
      </c>
    </row>
    <row r="129" customFormat="false" ht="15" hidden="false" customHeight="false" outlineLevel="0" collapsed="false">
      <c r="A129" s="2" t="s">
        <v>128</v>
      </c>
      <c r="B129" s="2" t="s">
        <v>129</v>
      </c>
      <c r="C129" s="2" t="s">
        <v>69</v>
      </c>
      <c r="D129" s="2" t="s">
        <v>130</v>
      </c>
      <c r="E129" s="2" t="s">
        <v>131</v>
      </c>
      <c r="F129" s="4" t="n">
        <v>1</v>
      </c>
      <c r="G129" s="5" t="n">
        <v>5</v>
      </c>
      <c r="H129" s="6" t="n">
        <f aca="false">IF(G129="","",F129*G129)</f>
        <v>5</v>
      </c>
      <c r="I129" s="2" t="s">
        <v>24</v>
      </c>
    </row>
    <row r="130" customFormat="false" ht="15" hidden="false" customHeight="false" outlineLevel="0" collapsed="false">
      <c r="A130" s="2" t="s">
        <v>128</v>
      </c>
      <c r="B130" s="2" t="s">
        <v>129</v>
      </c>
      <c r="C130" s="2" t="s">
        <v>69</v>
      </c>
      <c r="D130" s="2" t="s">
        <v>90</v>
      </c>
      <c r="E130" s="2" t="s">
        <v>91</v>
      </c>
      <c r="F130" s="4" t="n">
        <v>1</v>
      </c>
      <c r="G130" s="5" t="n">
        <v>1.5</v>
      </c>
      <c r="H130" s="6" t="n">
        <f aca="false">IF(G130="","",F130*G130)</f>
        <v>1.5</v>
      </c>
      <c r="I130" s="2" t="s">
        <v>24</v>
      </c>
    </row>
    <row r="131" customFormat="false" ht="15" hidden="false" customHeight="false" outlineLevel="0" collapsed="false">
      <c r="A131" s="2" t="s">
        <v>128</v>
      </c>
      <c r="B131" s="2" t="s">
        <v>129</v>
      </c>
      <c r="C131" s="2" t="s">
        <v>69</v>
      </c>
      <c r="D131" s="2" t="s">
        <v>132</v>
      </c>
      <c r="E131" s="2" t="s">
        <v>133</v>
      </c>
      <c r="F131" s="4" t="n">
        <v>2</v>
      </c>
      <c r="G131" s="5" t="n">
        <v>0.25</v>
      </c>
      <c r="H131" s="6" t="n">
        <f aca="false">IF(G131="","",F131*G131)</f>
        <v>0.5</v>
      </c>
      <c r="I131" s="2" t="s">
        <v>24</v>
      </c>
    </row>
    <row r="132" customFormat="false" ht="15" hidden="false" customHeight="false" outlineLevel="0" collapsed="false">
      <c r="A132" s="2" t="s">
        <v>128</v>
      </c>
      <c r="B132" s="2" t="s">
        <v>129</v>
      </c>
      <c r="C132" s="2" t="s">
        <v>69</v>
      </c>
      <c r="D132" s="2" t="s">
        <v>82</v>
      </c>
      <c r="E132" s="2" t="s">
        <v>83</v>
      </c>
      <c r="F132" s="4" t="n">
        <v>1</v>
      </c>
      <c r="G132" s="6" t="str">
        <f aca="false">IFERROR(IF(INDEX('New Components'!$D$2:$D$23,MATCH(E132,'New Components'!$A$2:$A$23,0))="","",INDEX('New Components'!$D$2:$D$23,MATCH(E132,'New Components'!$A$2:$A$23,0))),"")</f>
        <v/>
      </c>
      <c r="H132" s="6" t="str">
        <f aca="false">IF(G132="","",F132*G132)</f>
        <v/>
      </c>
      <c r="I132" s="2" t="s">
        <v>27</v>
      </c>
    </row>
    <row r="133" customFormat="false" ht="15" hidden="false" customHeight="false" outlineLevel="0" collapsed="false">
      <c r="A133" s="2" t="s">
        <v>128</v>
      </c>
      <c r="B133" s="2" t="s">
        <v>129</v>
      </c>
      <c r="C133" s="2" t="s">
        <v>69</v>
      </c>
      <c r="D133" s="2" t="s">
        <v>37</v>
      </c>
      <c r="E133" s="2" t="s">
        <v>38</v>
      </c>
      <c r="F133" s="4" t="n">
        <v>1</v>
      </c>
      <c r="G133" s="6" t="str">
        <f aca="false">IFERROR(IF(INDEX('New Components'!$D$2:$D$23,MATCH(E133,'New Components'!$A$2:$A$23,0))="","",INDEX('New Components'!$D$2:$D$23,MATCH(E133,'New Components'!$A$2:$A$23,0))),"")</f>
        <v/>
      </c>
      <c r="H133" s="6" t="str">
        <f aca="false">IF(G133="","",F133*G133)</f>
        <v/>
      </c>
      <c r="I133" s="2" t="s">
        <v>27</v>
      </c>
    </row>
    <row r="134" customFormat="false" ht="15" hidden="false" customHeight="false" outlineLevel="0" collapsed="false">
      <c r="A134" s="2" t="s">
        <v>128</v>
      </c>
      <c r="B134" s="2" t="s">
        <v>129</v>
      </c>
      <c r="C134" s="2" t="s">
        <v>69</v>
      </c>
      <c r="D134" s="2" t="s">
        <v>39</v>
      </c>
      <c r="E134" s="2" t="s">
        <v>40</v>
      </c>
      <c r="F134" s="4" t="n">
        <v>1</v>
      </c>
      <c r="G134" s="6" t="str">
        <f aca="false">IFERROR(IF(INDEX('New Components'!$D$2:$D$23,MATCH(E134,'New Components'!$A$2:$A$23,0))="","",INDEX('New Components'!$D$2:$D$23,MATCH(E134,'New Components'!$A$2:$A$23,0))),"")</f>
        <v/>
      </c>
      <c r="H134" s="6" t="str">
        <f aca="false">IF(G134="","",F134*G134)</f>
        <v/>
      </c>
      <c r="I134" s="2" t="s">
        <v>27</v>
      </c>
    </row>
    <row r="135" customFormat="false" ht="15" hidden="false" customHeight="false" outlineLevel="0" collapsed="false">
      <c r="A135" s="2" t="s">
        <v>128</v>
      </c>
      <c r="B135" s="2" t="s">
        <v>129</v>
      </c>
      <c r="C135" s="2" t="s">
        <v>69</v>
      </c>
      <c r="D135" s="2" t="s">
        <v>41</v>
      </c>
      <c r="E135" s="2" t="s">
        <v>42</v>
      </c>
      <c r="F135" s="4" t="n">
        <v>1</v>
      </c>
      <c r="G135" s="5" t="n">
        <v>0.5</v>
      </c>
      <c r="H135" s="6" t="n">
        <f aca="false">IF(G135="","",F135*G135)</f>
        <v>0.5</v>
      </c>
      <c r="I135" s="2" t="s">
        <v>24</v>
      </c>
    </row>
    <row r="136" customFormat="false" ht="15" hidden="false" customHeight="false" outlineLevel="0" collapsed="false">
      <c r="A136" s="2" t="s">
        <v>128</v>
      </c>
      <c r="B136" s="2" t="s">
        <v>129</v>
      </c>
      <c r="C136" s="2" t="s">
        <v>69</v>
      </c>
      <c r="D136" s="2" t="s">
        <v>84</v>
      </c>
      <c r="E136" s="2" t="s">
        <v>85</v>
      </c>
      <c r="F136" s="4" t="n">
        <v>1</v>
      </c>
      <c r="G136" s="5" t="n">
        <v>0.25</v>
      </c>
      <c r="H136" s="6" t="n">
        <f aca="false">IF(G136="","",F136*G136)</f>
        <v>0.25</v>
      </c>
      <c r="I136" s="2" t="s">
        <v>24</v>
      </c>
    </row>
    <row r="137" customFormat="false" ht="15" hidden="false" customHeight="false" outlineLevel="0" collapsed="false">
      <c r="A137" s="2" t="s">
        <v>128</v>
      </c>
      <c r="B137" s="2" t="s">
        <v>129</v>
      </c>
      <c r="C137" s="2" t="s">
        <v>69</v>
      </c>
      <c r="D137" s="2" t="s">
        <v>86</v>
      </c>
      <c r="E137" s="2" t="s">
        <v>87</v>
      </c>
      <c r="F137" s="4" t="n">
        <v>1</v>
      </c>
      <c r="G137" s="5" t="n">
        <v>0.33</v>
      </c>
      <c r="H137" s="6" t="n">
        <f aca="false">IF(G137="","",F137*G137)</f>
        <v>0.33</v>
      </c>
      <c r="I137" s="2" t="s">
        <v>24</v>
      </c>
    </row>
    <row r="138" customFormat="false" ht="15" hidden="false" customHeight="false" outlineLevel="0" collapsed="false">
      <c r="A138" s="2" t="s">
        <v>134</v>
      </c>
      <c r="B138" s="2" t="s">
        <v>135</v>
      </c>
      <c r="C138" s="2" t="s">
        <v>21</v>
      </c>
      <c r="D138" s="2" t="s">
        <v>22</v>
      </c>
      <c r="E138" s="2" t="s">
        <v>23</v>
      </c>
      <c r="F138" s="4" t="n">
        <v>1</v>
      </c>
      <c r="G138" s="5" t="n">
        <v>9</v>
      </c>
      <c r="H138" s="6" t="n">
        <f aca="false">IF(G138="","",F138*G138)</f>
        <v>9</v>
      </c>
      <c r="I138" s="2" t="s">
        <v>24</v>
      </c>
    </row>
    <row r="139" customFormat="false" ht="15" hidden="false" customHeight="false" outlineLevel="0" collapsed="false">
      <c r="A139" s="2" t="s">
        <v>134</v>
      </c>
      <c r="B139" s="2" t="s">
        <v>135</v>
      </c>
      <c r="C139" s="2" t="s">
        <v>21</v>
      </c>
      <c r="D139" s="2" t="s">
        <v>136</v>
      </c>
      <c r="E139" s="2" t="s">
        <v>137</v>
      </c>
      <c r="F139" s="4" t="n">
        <v>2</v>
      </c>
      <c r="G139" s="5" t="n">
        <v>2</v>
      </c>
      <c r="H139" s="6" t="n">
        <f aca="false">IF(G139="","",F139*G139)</f>
        <v>4</v>
      </c>
      <c r="I139" s="2" t="s">
        <v>24</v>
      </c>
    </row>
    <row r="140" customFormat="false" ht="15" hidden="false" customHeight="false" outlineLevel="0" collapsed="false">
      <c r="A140" s="2" t="s">
        <v>134</v>
      </c>
      <c r="B140" s="2" t="s">
        <v>135</v>
      </c>
      <c r="C140" s="2" t="s">
        <v>21</v>
      </c>
      <c r="D140" s="2" t="s">
        <v>138</v>
      </c>
      <c r="E140" s="2" t="s">
        <v>139</v>
      </c>
      <c r="F140" s="4" t="n">
        <v>1</v>
      </c>
      <c r="G140" s="5" t="n">
        <v>2.83</v>
      </c>
      <c r="H140" s="6" t="n">
        <f aca="false">IF(G140="","",F140*G140)</f>
        <v>2.83</v>
      </c>
      <c r="I140" s="2" t="s">
        <v>24</v>
      </c>
    </row>
    <row r="141" customFormat="false" ht="15" hidden="false" customHeight="false" outlineLevel="0" collapsed="false">
      <c r="A141" s="2" t="s">
        <v>134</v>
      </c>
      <c r="B141" s="2" t="s">
        <v>135</v>
      </c>
      <c r="C141" s="2" t="s">
        <v>21</v>
      </c>
      <c r="D141" s="2" t="s">
        <v>140</v>
      </c>
      <c r="E141" s="2" t="s">
        <v>141</v>
      </c>
      <c r="F141" s="4" t="n">
        <v>1</v>
      </c>
      <c r="G141" s="5" t="n">
        <v>2.83</v>
      </c>
      <c r="H141" s="6" t="n">
        <f aca="false">IF(G141="","",F141*G141)</f>
        <v>2.83</v>
      </c>
      <c r="I141" s="2" t="s">
        <v>24</v>
      </c>
    </row>
    <row r="142" customFormat="false" ht="15" hidden="false" customHeight="false" outlineLevel="0" collapsed="false">
      <c r="A142" s="2" t="s">
        <v>134</v>
      </c>
      <c r="B142" s="2" t="s">
        <v>135</v>
      </c>
      <c r="C142" s="2" t="s">
        <v>21</v>
      </c>
      <c r="D142" s="2" t="s">
        <v>90</v>
      </c>
      <c r="E142" s="2" t="s">
        <v>91</v>
      </c>
      <c r="F142" s="4" t="n">
        <v>1</v>
      </c>
      <c r="G142" s="5" t="n">
        <v>1.5</v>
      </c>
      <c r="H142" s="6" t="n">
        <f aca="false">IF(G142="","",F142*G142)</f>
        <v>1.5</v>
      </c>
      <c r="I142" s="2" t="s">
        <v>24</v>
      </c>
    </row>
    <row r="143" customFormat="false" ht="15" hidden="false" customHeight="false" outlineLevel="0" collapsed="false">
      <c r="A143" s="2" t="s">
        <v>134</v>
      </c>
      <c r="B143" s="2" t="s">
        <v>135</v>
      </c>
      <c r="C143" s="2" t="s">
        <v>21</v>
      </c>
      <c r="D143" s="2" t="s">
        <v>142</v>
      </c>
      <c r="E143" s="2" t="s">
        <v>143</v>
      </c>
      <c r="F143" s="4" t="n">
        <v>1</v>
      </c>
      <c r="G143" s="5" t="n">
        <v>3.5</v>
      </c>
      <c r="H143" s="6" t="n">
        <f aca="false">IF(G143="","",F143*G143)</f>
        <v>3.5</v>
      </c>
      <c r="I143" s="2" t="s">
        <v>144</v>
      </c>
    </row>
    <row r="144" customFormat="false" ht="15" hidden="false" customHeight="false" outlineLevel="0" collapsed="false">
      <c r="A144" s="2" t="s">
        <v>134</v>
      </c>
      <c r="B144" s="2" t="s">
        <v>135</v>
      </c>
      <c r="C144" s="2" t="s">
        <v>21</v>
      </c>
      <c r="D144" s="2" t="s">
        <v>32</v>
      </c>
      <c r="E144" s="2" t="s">
        <v>33</v>
      </c>
      <c r="F144" s="4" t="n">
        <v>1</v>
      </c>
      <c r="G144" s="5" t="n">
        <v>4</v>
      </c>
      <c r="H144" s="6" t="n">
        <f aca="false">IF(G144="","",F144*G144)</f>
        <v>4</v>
      </c>
      <c r="I144" s="2" t="s">
        <v>34</v>
      </c>
    </row>
    <row r="145" customFormat="false" ht="15" hidden="false" customHeight="false" outlineLevel="0" collapsed="false">
      <c r="A145" s="2" t="s">
        <v>134</v>
      </c>
      <c r="B145" s="2" t="s">
        <v>135</v>
      </c>
      <c r="C145" s="2" t="s">
        <v>21</v>
      </c>
      <c r="D145" s="2" t="s">
        <v>35</v>
      </c>
      <c r="E145" s="2" t="s">
        <v>36</v>
      </c>
      <c r="F145" s="4" t="n">
        <v>1</v>
      </c>
      <c r="G145" s="6" t="str">
        <f aca="false">IFERROR(IF(INDEX('New Components'!$D$2:$D$23,MATCH(E145,'New Components'!$A$2:$A$23,0))="","",INDEX('New Components'!$D$2:$D$23,MATCH(E145,'New Components'!$A$2:$A$23,0))),"")</f>
        <v/>
      </c>
      <c r="H145" s="6" t="str">
        <f aca="false">IF(G145="","",F145*G145)</f>
        <v/>
      </c>
      <c r="I145" s="2" t="s">
        <v>27</v>
      </c>
    </row>
    <row r="146" customFormat="false" ht="15" hidden="false" customHeight="false" outlineLevel="0" collapsed="false">
      <c r="A146" s="2" t="s">
        <v>134</v>
      </c>
      <c r="B146" s="2" t="s">
        <v>135</v>
      </c>
      <c r="C146" s="2" t="s">
        <v>21</v>
      </c>
      <c r="D146" s="2" t="s">
        <v>37</v>
      </c>
      <c r="E146" s="2" t="s">
        <v>38</v>
      </c>
      <c r="F146" s="4" t="n">
        <v>1</v>
      </c>
      <c r="G146" s="6" t="str">
        <f aca="false">IFERROR(IF(INDEX('New Components'!$D$2:$D$23,MATCH(E146,'New Components'!$A$2:$A$23,0))="","",INDEX('New Components'!$D$2:$D$23,MATCH(E146,'New Components'!$A$2:$A$23,0))),"")</f>
        <v/>
      </c>
      <c r="H146" s="6" t="str">
        <f aca="false">IF(G146="","",F146*G146)</f>
        <v/>
      </c>
      <c r="I146" s="2" t="s">
        <v>27</v>
      </c>
    </row>
    <row r="147" customFormat="false" ht="15" hidden="false" customHeight="false" outlineLevel="0" collapsed="false">
      <c r="A147" s="2" t="s">
        <v>134</v>
      </c>
      <c r="B147" s="2" t="s">
        <v>135</v>
      </c>
      <c r="C147" s="2" t="s">
        <v>21</v>
      </c>
      <c r="D147" s="2" t="s">
        <v>39</v>
      </c>
      <c r="E147" s="2" t="s">
        <v>40</v>
      </c>
      <c r="F147" s="4" t="n">
        <v>1</v>
      </c>
      <c r="G147" s="6" t="str">
        <f aca="false">IFERROR(IF(INDEX('New Components'!$D$2:$D$23,MATCH(E147,'New Components'!$A$2:$A$23,0))="","",INDEX('New Components'!$D$2:$D$23,MATCH(E147,'New Components'!$A$2:$A$23,0))),"")</f>
        <v/>
      </c>
      <c r="H147" s="6" t="str">
        <f aca="false">IF(G147="","",F147*G147)</f>
        <v/>
      </c>
      <c r="I147" s="2" t="s">
        <v>27</v>
      </c>
    </row>
    <row r="148" customFormat="false" ht="15" hidden="false" customHeight="false" outlineLevel="0" collapsed="false">
      <c r="A148" s="2" t="s">
        <v>134</v>
      </c>
      <c r="B148" s="2" t="s">
        <v>135</v>
      </c>
      <c r="C148" s="2" t="s">
        <v>21</v>
      </c>
      <c r="D148" s="2" t="s">
        <v>41</v>
      </c>
      <c r="E148" s="2" t="s">
        <v>42</v>
      </c>
      <c r="F148" s="4" t="n">
        <v>1</v>
      </c>
      <c r="G148" s="5" t="n">
        <v>0.5</v>
      </c>
      <c r="H148" s="6" t="n">
        <f aca="false">IF(G148="","",F148*G148)</f>
        <v>0.5</v>
      </c>
      <c r="I148" s="2" t="s">
        <v>24</v>
      </c>
    </row>
    <row r="149" customFormat="false" ht="15" hidden="false" customHeight="false" outlineLevel="0" collapsed="false">
      <c r="A149" s="2" t="s">
        <v>134</v>
      </c>
      <c r="B149" s="2" t="s">
        <v>135</v>
      </c>
      <c r="C149" s="2" t="s">
        <v>21</v>
      </c>
      <c r="D149" s="2" t="s">
        <v>43</v>
      </c>
      <c r="E149" s="2" t="s">
        <v>44</v>
      </c>
      <c r="F149" s="4" t="n">
        <v>1</v>
      </c>
      <c r="G149" s="5" t="n">
        <v>0.25</v>
      </c>
      <c r="H149" s="6" t="n">
        <f aca="false">IF(G149="","",F149*G149)</f>
        <v>0.25</v>
      </c>
      <c r="I149" s="2" t="s">
        <v>24</v>
      </c>
    </row>
    <row r="150" customFormat="false" ht="15" hidden="false" customHeight="false" outlineLevel="0" collapsed="false">
      <c r="A150" s="2" t="s">
        <v>134</v>
      </c>
      <c r="B150" s="2" t="s">
        <v>135</v>
      </c>
      <c r="C150" s="2" t="s">
        <v>21</v>
      </c>
      <c r="D150" s="2" t="s">
        <v>45</v>
      </c>
      <c r="E150" s="2" t="s">
        <v>46</v>
      </c>
      <c r="F150" s="4" t="n">
        <v>1</v>
      </c>
      <c r="G150" s="5" t="n">
        <v>0.33</v>
      </c>
      <c r="H150" s="6" t="n">
        <f aca="false">IF(G150="","",F150*G150)</f>
        <v>0.33</v>
      </c>
      <c r="I150" s="2" t="s">
        <v>24</v>
      </c>
    </row>
    <row r="151" customFormat="false" ht="15" hidden="false" customHeight="false" outlineLevel="0" collapsed="false">
      <c r="A151" s="2" t="s">
        <v>134</v>
      </c>
      <c r="B151" s="2" t="s">
        <v>145</v>
      </c>
      <c r="C151" s="2" t="s">
        <v>64</v>
      </c>
      <c r="D151" s="2" t="s">
        <v>136</v>
      </c>
      <c r="E151" s="2" t="s">
        <v>137</v>
      </c>
      <c r="F151" s="4" t="n">
        <v>2</v>
      </c>
      <c r="G151" s="5" t="n">
        <v>2</v>
      </c>
      <c r="H151" s="6" t="n">
        <f aca="false">IF(G151="","",F151*G151)</f>
        <v>4</v>
      </c>
      <c r="I151" s="2" t="s">
        <v>24</v>
      </c>
    </row>
    <row r="152" customFormat="false" ht="15" hidden="false" customHeight="false" outlineLevel="0" collapsed="false">
      <c r="A152" s="2" t="s">
        <v>134</v>
      </c>
      <c r="B152" s="2" t="s">
        <v>145</v>
      </c>
      <c r="C152" s="2" t="s">
        <v>64</v>
      </c>
      <c r="D152" s="2" t="s">
        <v>138</v>
      </c>
      <c r="E152" s="2" t="s">
        <v>139</v>
      </c>
      <c r="F152" s="4" t="n">
        <v>1</v>
      </c>
      <c r="G152" s="5" t="n">
        <v>2.83</v>
      </c>
      <c r="H152" s="6" t="n">
        <f aca="false">IF(G152="","",F152*G152)</f>
        <v>2.83</v>
      </c>
      <c r="I152" s="2" t="s">
        <v>24</v>
      </c>
    </row>
    <row r="153" customFormat="false" ht="15" hidden="false" customHeight="false" outlineLevel="0" collapsed="false">
      <c r="A153" s="2" t="s">
        <v>134</v>
      </c>
      <c r="B153" s="2" t="s">
        <v>145</v>
      </c>
      <c r="C153" s="2" t="s">
        <v>64</v>
      </c>
      <c r="D153" s="2" t="s">
        <v>140</v>
      </c>
      <c r="E153" s="2" t="s">
        <v>141</v>
      </c>
      <c r="F153" s="4" t="n">
        <v>1</v>
      </c>
      <c r="G153" s="5" t="n">
        <v>2.83</v>
      </c>
      <c r="H153" s="6" t="n">
        <f aca="false">IF(G153="","",F153*G153)</f>
        <v>2.83</v>
      </c>
      <c r="I153" s="2" t="s">
        <v>24</v>
      </c>
    </row>
    <row r="154" customFormat="false" ht="15" hidden="false" customHeight="false" outlineLevel="0" collapsed="false">
      <c r="A154" s="2" t="s">
        <v>134</v>
      </c>
      <c r="B154" s="2" t="s">
        <v>145</v>
      </c>
      <c r="C154" s="2" t="s">
        <v>64</v>
      </c>
      <c r="D154" s="2" t="s">
        <v>90</v>
      </c>
      <c r="E154" s="2" t="s">
        <v>91</v>
      </c>
      <c r="F154" s="4" t="n">
        <v>1</v>
      </c>
      <c r="G154" s="5" t="n">
        <v>1.5</v>
      </c>
      <c r="H154" s="6" t="n">
        <f aca="false">IF(G154="","",F154*G154)</f>
        <v>1.5</v>
      </c>
      <c r="I154" s="2" t="s">
        <v>24</v>
      </c>
    </row>
    <row r="155" customFormat="false" ht="15" hidden="false" customHeight="false" outlineLevel="0" collapsed="false">
      <c r="A155" s="2" t="s">
        <v>134</v>
      </c>
      <c r="B155" s="2" t="s">
        <v>145</v>
      </c>
      <c r="C155" s="2" t="s">
        <v>64</v>
      </c>
      <c r="D155" s="2" t="s">
        <v>142</v>
      </c>
      <c r="E155" s="2" t="s">
        <v>143</v>
      </c>
      <c r="F155" s="4" t="n">
        <v>1</v>
      </c>
      <c r="G155" s="5" t="n">
        <v>3.5</v>
      </c>
      <c r="H155" s="6" t="n">
        <f aca="false">IF(G155="","",F155*G155)</f>
        <v>3.5</v>
      </c>
      <c r="I155" s="2" t="s">
        <v>144</v>
      </c>
    </row>
    <row r="156" customFormat="false" ht="15" hidden="false" customHeight="false" outlineLevel="0" collapsed="false">
      <c r="A156" s="2" t="s">
        <v>134</v>
      </c>
      <c r="B156" s="2" t="s">
        <v>145</v>
      </c>
      <c r="C156" s="2" t="s">
        <v>64</v>
      </c>
      <c r="D156" s="2" t="s">
        <v>32</v>
      </c>
      <c r="E156" s="2" t="s">
        <v>33</v>
      </c>
      <c r="F156" s="4" t="n">
        <v>1</v>
      </c>
      <c r="G156" s="5" t="n">
        <v>4</v>
      </c>
      <c r="H156" s="6" t="n">
        <f aca="false">IF(G156="","",F156*G156)</f>
        <v>4</v>
      </c>
      <c r="I156" s="2" t="s">
        <v>34</v>
      </c>
    </row>
    <row r="157" customFormat="false" ht="15" hidden="false" customHeight="false" outlineLevel="0" collapsed="false">
      <c r="A157" s="2" t="s">
        <v>134</v>
      </c>
      <c r="B157" s="2" t="s">
        <v>145</v>
      </c>
      <c r="C157" s="2" t="s">
        <v>64</v>
      </c>
      <c r="D157" s="2" t="s">
        <v>65</v>
      </c>
      <c r="E157" s="2" t="s">
        <v>66</v>
      </c>
      <c r="F157" s="4" t="n">
        <v>1</v>
      </c>
      <c r="G157" s="5" t="n">
        <v>12.08</v>
      </c>
      <c r="H157" s="6" t="n">
        <f aca="false">IF(G157="","",F157*G157)</f>
        <v>12.08</v>
      </c>
      <c r="I157" s="2" t="s">
        <v>24</v>
      </c>
    </row>
    <row r="158" customFormat="false" ht="15" hidden="false" customHeight="false" outlineLevel="0" collapsed="false">
      <c r="A158" s="2" t="s">
        <v>134</v>
      </c>
      <c r="B158" s="2" t="s">
        <v>145</v>
      </c>
      <c r="C158" s="2" t="s">
        <v>64</v>
      </c>
      <c r="D158" s="2" t="s">
        <v>146</v>
      </c>
      <c r="E158" s="2" t="s">
        <v>147</v>
      </c>
      <c r="F158" s="4" t="n">
        <v>1</v>
      </c>
      <c r="G158" s="5" t="n">
        <v>2</v>
      </c>
      <c r="H158" s="6" t="n">
        <f aca="false">IF(G158="","",F158*G158)</f>
        <v>2</v>
      </c>
      <c r="I158" s="2" t="s">
        <v>24</v>
      </c>
    </row>
    <row r="159" customFormat="false" ht="15" hidden="false" customHeight="false" outlineLevel="0" collapsed="false">
      <c r="A159" s="2" t="s">
        <v>134</v>
      </c>
      <c r="B159" s="2" t="s">
        <v>145</v>
      </c>
      <c r="C159" s="2" t="s">
        <v>64</v>
      </c>
      <c r="D159" s="2" t="s">
        <v>35</v>
      </c>
      <c r="E159" s="2" t="s">
        <v>36</v>
      </c>
      <c r="F159" s="4" t="n">
        <v>1</v>
      </c>
      <c r="G159" s="6" t="str">
        <f aca="false">IFERROR(IF(INDEX('New Components'!$D$2:$D$23,MATCH(E159,'New Components'!$A$2:$A$23,0))="","",INDEX('New Components'!$D$2:$D$23,MATCH(E159,'New Components'!$A$2:$A$23,0))),"")</f>
        <v/>
      </c>
      <c r="H159" s="6" t="str">
        <f aca="false">IF(G159="","",F159*G159)</f>
        <v/>
      </c>
      <c r="I159" s="2" t="s">
        <v>27</v>
      </c>
    </row>
    <row r="160" customFormat="false" ht="15" hidden="false" customHeight="false" outlineLevel="0" collapsed="false">
      <c r="A160" s="2" t="s">
        <v>134</v>
      </c>
      <c r="B160" s="2" t="s">
        <v>145</v>
      </c>
      <c r="C160" s="2" t="s">
        <v>64</v>
      </c>
      <c r="D160" s="2" t="s">
        <v>37</v>
      </c>
      <c r="E160" s="2" t="s">
        <v>38</v>
      </c>
      <c r="F160" s="4" t="n">
        <v>1</v>
      </c>
      <c r="G160" s="6" t="str">
        <f aca="false">IFERROR(IF(INDEX('New Components'!$D$2:$D$23,MATCH(E160,'New Components'!$A$2:$A$23,0))="","",INDEX('New Components'!$D$2:$D$23,MATCH(E160,'New Components'!$A$2:$A$23,0))),"")</f>
        <v/>
      </c>
      <c r="H160" s="6" t="str">
        <f aca="false">IF(G160="","",F160*G160)</f>
        <v/>
      </c>
      <c r="I160" s="2" t="s">
        <v>27</v>
      </c>
    </row>
    <row r="161" customFormat="false" ht="15" hidden="false" customHeight="false" outlineLevel="0" collapsed="false">
      <c r="A161" s="2" t="s">
        <v>134</v>
      </c>
      <c r="B161" s="2" t="s">
        <v>145</v>
      </c>
      <c r="C161" s="2" t="s">
        <v>64</v>
      </c>
      <c r="D161" s="2" t="s">
        <v>39</v>
      </c>
      <c r="E161" s="2" t="s">
        <v>40</v>
      </c>
      <c r="F161" s="4" t="n">
        <v>1</v>
      </c>
      <c r="G161" s="6" t="str">
        <f aca="false">IFERROR(IF(INDEX('New Components'!$D$2:$D$23,MATCH(E161,'New Components'!$A$2:$A$23,0))="","",INDEX('New Components'!$D$2:$D$23,MATCH(E161,'New Components'!$A$2:$A$23,0))),"")</f>
        <v/>
      </c>
      <c r="H161" s="6" t="str">
        <f aca="false">IF(G161="","",F161*G161)</f>
        <v/>
      </c>
      <c r="I161" s="2" t="s">
        <v>27</v>
      </c>
    </row>
    <row r="162" customFormat="false" ht="15" hidden="false" customHeight="false" outlineLevel="0" collapsed="false">
      <c r="A162" s="2" t="s">
        <v>134</v>
      </c>
      <c r="B162" s="2" t="s">
        <v>145</v>
      </c>
      <c r="C162" s="2" t="s">
        <v>64</v>
      </c>
      <c r="D162" s="2" t="s">
        <v>41</v>
      </c>
      <c r="E162" s="2" t="s">
        <v>42</v>
      </c>
      <c r="F162" s="4" t="n">
        <v>1</v>
      </c>
      <c r="G162" s="5" t="n">
        <v>0.5</v>
      </c>
      <c r="H162" s="6" t="n">
        <f aca="false">IF(G162="","",F162*G162)</f>
        <v>0.5</v>
      </c>
      <c r="I162" s="2" t="s">
        <v>24</v>
      </c>
    </row>
    <row r="163" customFormat="false" ht="15" hidden="false" customHeight="false" outlineLevel="0" collapsed="false">
      <c r="A163" s="2" t="s">
        <v>134</v>
      </c>
      <c r="B163" s="2" t="s">
        <v>145</v>
      </c>
      <c r="C163" s="2" t="s">
        <v>64</v>
      </c>
      <c r="D163" s="2" t="s">
        <v>43</v>
      </c>
      <c r="E163" s="2" t="s">
        <v>44</v>
      </c>
      <c r="F163" s="4" t="n">
        <v>1</v>
      </c>
      <c r="G163" s="5" t="n">
        <v>0.25</v>
      </c>
      <c r="H163" s="6" t="n">
        <f aca="false">IF(G163="","",F163*G163)</f>
        <v>0.25</v>
      </c>
      <c r="I163" s="2" t="s">
        <v>24</v>
      </c>
    </row>
    <row r="164" customFormat="false" ht="15" hidden="false" customHeight="false" outlineLevel="0" collapsed="false">
      <c r="A164" s="2" t="s">
        <v>134</v>
      </c>
      <c r="B164" s="2" t="s">
        <v>145</v>
      </c>
      <c r="C164" s="2" t="s">
        <v>64</v>
      </c>
      <c r="D164" s="2" t="s">
        <v>45</v>
      </c>
      <c r="E164" s="2" t="s">
        <v>46</v>
      </c>
      <c r="F164" s="4" t="n">
        <v>1</v>
      </c>
      <c r="G164" s="5" t="n">
        <v>0.33</v>
      </c>
      <c r="H164" s="6" t="n">
        <f aca="false">IF(G164="","",F164*G164)</f>
        <v>0.33</v>
      </c>
      <c r="I164" s="2" t="s">
        <v>24</v>
      </c>
    </row>
    <row r="165" customFormat="false" ht="15" hidden="false" customHeight="false" outlineLevel="0" collapsed="false">
      <c r="A165" s="2" t="s">
        <v>148</v>
      </c>
      <c r="B165" s="2" t="s">
        <v>149</v>
      </c>
      <c r="C165" s="2" t="s">
        <v>69</v>
      </c>
      <c r="D165" s="2" t="s">
        <v>120</v>
      </c>
      <c r="E165" s="2" t="s">
        <v>121</v>
      </c>
      <c r="F165" s="4" t="n">
        <v>1</v>
      </c>
      <c r="G165" s="5" t="n">
        <v>3.1</v>
      </c>
      <c r="H165" s="6" t="n">
        <f aca="false">IF(G165="","",F165*G165)</f>
        <v>3.1</v>
      </c>
      <c r="I165" s="2" t="s">
        <v>24</v>
      </c>
    </row>
    <row r="166" customFormat="false" ht="15" hidden="false" customHeight="false" outlineLevel="0" collapsed="false">
      <c r="A166" s="2" t="s">
        <v>148</v>
      </c>
      <c r="B166" s="2" t="s">
        <v>149</v>
      </c>
      <c r="C166" s="2" t="s">
        <v>69</v>
      </c>
      <c r="D166" s="2" t="s">
        <v>150</v>
      </c>
      <c r="E166" s="2" t="s">
        <v>151</v>
      </c>
      <c r="F166" s="4" t="n">
        <v>1</v>
      </c>
      <c r="G166" s="5" t="n">
        <v>7</v>
      </c>
      <c r="H166" s="6" t="n">
        <f aca="false">IF(G166="","",F166*G166)</f>
        <v>7</v>
      </c>
      <c r="I166" s="2" t="s">
        <v>144</v>
      </c>
    </row>
    <row r="167" customFormat="false" ht="15" hidden="false" customHeight="false" outlineLevel="0" collapsed="false">
      <c r="A167" s="2" t="s">
        <v>148</v>
      </c>
      <c r="B167" s="2" t="s">
        <v>149</v>
      </c>
      <c r="C167" s="2" t="s">
        <v>69</v>
      </c>
      <c r="D167" s="2" t="s">
        <v>80</v>
      </c>
      <c r="E167" s="2" t="s">
        <v>81</v>
      </c>
      <c r="F167" s="4" t="n">
        <v>2</v>
      </c>
      <c r="G167" s="5" t="n">
        <v>0.54</v>
      </c>
      <c r="H167" s="6" t="n">
        <f aca="false">IF(G167="","",F167*G167)</f>
        <v>1.08</v>
      </c>
      <c r="I167" s="2" t="s">
        <v>24</v>
      </c>
    </row>
    <row r="168" customFormat="false" ht="15" hidden="false" customHeight="false" outlineLevel="0" collapsed="false">
      <c r="A168" s="2" t="s">
        <v>148</v>
      </c>
      <c r="B168" s="2" t="s">
        <v>149</v>
      </c>
      <c r="C168" s="2" t="s">
        <v>69</v>
      </c>
      <c r="D168" s="2" t="s">
        <v>138</v>
      </c>
      <c r="E168" s="2" t="s">
        <v>139</v>
      </c>
      <c r="F168" s="4" t="n">
        <v>1</v>
      </c>
      <c r="G168" s="5" t="n">
        <v>2.83</v>
      </c>
      <c r="H168" s="6" t="n">
        <f aca="false">IF(G168="","",F168*G168)</f>
        <v>2.83</v>
      </c>
      <c r="I168" s="2" t="s">
        <v>24</v>
      </c>
    </row>
    <row r="169" customFormat="false" ht="15" hidden="false" customHeight="false" outlineLevel="0" collapsed="false">
      <c r="A169" s="2" t="s">
        <v>148</v>
      </c>
      <c r="B169" s="2" t="s">
        <v>149</v>
      </c>
      <c r="C169" s="2" t="s">
        <v>69</v>
      </c>
      <c r="D169" s="2" t="s">
        <v>32</v>
      </c>
      <c r="E169" s="2" t="s">
        <v>33</v>
      </c>
      <c r="F169" s="4" t="n">
        <v>1</v>
      </c>
      <c r="G169" s="5" t="n">
        <v>4</v>
      </c>
      <c r="H169" s="6" t="n">
        <f aca="false">IF(G169="","",F169*G169)</f>
        <v>4</v>
      </c>
      <c r="I169" s="2" t="s">
        <v>34</v>
      </c>
    </row>
    <row r="170" customFormat="false" ht="15" hidden="false" customHeight="false" outlineLevel="0" collapsed="false">
      <c r="A170" s="2" t="s">
        <v>148</v>
      </c>
      <c r="B170" s="2" t="s">
        <v>149</v>
      </c>
      <c r="C170" s="2" t="s">
        <v>69</v>
      </c>
      <c r="D170" s="2" t="s">
        <v>35</v>
      </c>
      <c r="E170" s="2" t="s">
        <v>36</v>
      </c>
      <c r="F170" s="4" t="n">
        <v>1</v>
      </c>
      <c r="G170" s="6" t="str">
        <f aca="false">IFERROR(IF(INDEX('New Components'!$D$2:$D$23,MATCH(E170,'New Components'!$A$2:$A$23,0))="","",INDEX('New Components'!$D$2:$D$23,MATCH(E170,'New Components'!$A$2:$A$23,0))),"")</f>
        <v/>
      </c>
      <c r="H170" s="6" t="str">
        <f aca="false">IF(G170="","",F170*G170)</f>
        <v/>
      </c>
      <c r="I170" s="2" t="s">
        <v>27</v>
      </c>
    </row>
    <row r="171" customFormat="false" ht="15" hidden="false" customHeight="false" outlineLevel="0" collapsed="false">
      <c r="A171" s="2" t="s">
        <v>148</v>
      </c>
      <c r="B171" s="2" t="s">
        <v>149</v>
      </c>
      <c r="C171" s="2" t="s">
        <v>69</v>
      </c>
      <c r="D171" s="2" t="s">
        <v>37</v>
      </c>
      <c r="E171" s="2" t="s">
        <v>38</v>
      </c>
      <c r="F171" s="4" t="n">
        <v>1</v>
      </c>
      <c r="G171" s="6" t="str">
        <f aca="false">IFERROR(IF(INDEX('New Components'!$D$2:$D$23,MATCH(E171,'New Components'!$A$2:$A$23,0))="","",INDEX('New Components'!$D$2:$D$23,MATCH(E171,'New Components'!$A$2:$A$23,0))),"")</f>
        <v/>
      </c>
      <c r="H171" s="6" t="str">
        <f aca="false">IF(G171="","",F171*G171)</f>
        <v/>
      </c>
      <c r="I171" s="2" t="s">
        <v>27</v>
      </c>
    </row>
    <row r="172" customFormat="false" ht="15" hidden="false" customHeight="false" outlineLevel="0" collapsed="false">
      <c r="A172" s="2" t="s">
        <v>148</v>
      </c>
      <c r="B172" s="2" t="s">
        <v>149</v>
      </c>
      <c r="C172" s="2" t="s">
        <v>69</v>
      </c>
      <c r="D172" s="2" t="s">
        <v>39</v>
      </c>
      <c r="E172" s="2" t="s">
        <v>40</v>
      </c>
      <c r="F172" s="4" t="n">
        <v>1</v>
      </c>
      <c r="G172" s="6" t="str">
        <f aca="false">IFERROR(IF(INDEX('New Components'!$D$2:$D$23,MATCH(E172,'New Components'!$A$2:$A$23,0))="","",INDEX('New Components'!$D$2:$D$23,MATCH(E172,'New Components'!$A$2:$A$23,0))),"")</f>
        <v/>
      </c>
      <c r="H172" s="6" t="str">
        <f aca="false">IF(G172="","",F172*G172)</f>
        <v/>
      </c>
      <c r="I172" s="2" t="s">
        <v>27</v>
      </c>
    </row>
    <row r="173" customFormat="false" ht="15" hidden="false" customHeight="false" outlineLevel="0" collapsed="false">
      <c r="A173" s="2" t="s">
        <v>148</v>
      </c>
      <c r="B173" s="2" t="s">
        <v>149</v>
      </c>
      <c r="C173" s="2" t="s">
        <v>69</v>
      </c>
      <c r="D173" s="2" t="s">
        <v>41</v>
      </c>
      <c r="E173" s="2" t="s">
        <v>42</v>
      </c>
      <c r="F173" s="4" t="n">
        <v>1</v>
      </c>
      <c r="G173" s="5" t="n">
        <v>0.5</v>
      </c>
      <c r="H173" s="6" t="n">
        <f aca="false">IF(G173="","",F173*G173)</f>
        <v>0.5</v>
      </c>
      <c r="I173" s="2" t="s">
        <v>24</v>
      </c>
    </row>
    <row r="174" customFormat="false" ht="15" hidden="false" customHeight="false" outlineLevel="0" collapsed="false">
      <c r="A174" s="2" t="s">
        <v>148</v>
      </c>
      <c r="B174" s="2" t="s">
        <v>149</v>
      </c>
      <c r="C174" s="2" t="s">
        <v>69</v>
      </c>
      <c r="D174" s="2" t="s">
        <v>43</v>
      </c>
      <c r="E174" s="2" t="s">
        <v>44</v>
      </c>
      <c r="F174" s="4" t="n">
        <v>1</v>
      </c>
      <c r="G174" s="5" t="n">
        <v>0.25</v>
      </c>
      <c r="H174" s="6" t="n">
        <f aca="false">IF(G174="","",F174*G174)</f>
        <v>0.25</v>
      </c>
      <c r="I174" s="2" t="s">
        <v>24</v>
      </c>
    </row>
    <row r="175" customFormat="false" ht="15" hidden="false" customHeight="false" outlineLevel="0" collapsed="false">
      <c r="A175" s="2" t="s">
        <v>148</v>
      </c>
      <c r="B175" s="2" t="s">
        <v>149</v>
      </c>
      <c r="C175" s="2" t="s">
        <v>69</v>
      </c>
      <c r="D175" s="2" t="s">
        <v>45</v>
      </c>
      <c r="E175" s="2" t="s">
        <v>46</v>
      </c>
      <c r="F175" s="4" t="n">
        <v>1</v>
      </c>
      <c r="G175" s="5" t="n">
        <v>0.33</v>
      </c>
      <c r="H175" s="6" t="n">
        <f aca="false">IF(G175="","",F175*G175)</f>
        <v>0.33</v>
      </c>
      <c r="I175" s="2" t="s">
        <v>24</v>
      </c>
    </row>
    <row r="176" customFormat="false" ht="15" hidden="false" customHeight="false" outlineLevel="0" collapsed="false">
      <c r="A176" s="2" t="s">
        <v>152</v>
      </c>
      <c r="B176" s="2" t="s">
        <v>153</v>
      </c>
      <c r="C176" s="2" t="s">
        <v>69</v>
      </c>
      <c r="D176" s="2" t="s">
        <v>104</v>
      </c>
      <c r="E176" s="2" t="s">
        <v>105</v>
      </c>
      <c r="F176" s="4" t="n">
        <v>1</v>
      </c>
      <c r="G176" s="5" t="n">
        <v>7.23</v>
      </c>
      <c r="H176" s="6" t="n">
        <f aca="false">IF(G176="","",F176*G176)</f>
        <v>7.23</v>
      </c>
      <c r="I176" s="2" t="s">
        <v>34</v>
      </c>
    </row>
    <row r="177" customFormat="false" ht="15" hidden="false" customHeight="false" outlineLevel="0" collapsed="false">
      <c r="A177" s="2" t="s">
        <v>152</v>
      </c>
      <c r="B177" s="2" t="s">
        <v>153</v>
      </c>
      <c r="C177" s="2" t="s">
        <v>69</v>
      </c>
      <c r="D177" s="2" t="s">
        <v>32</v>
      </c>
      <c r="E177" s="2" t="s">
        <v>33</v>
      </c>
      <c r="F177" s="4" t="n">
        <v>1</v>
      </c>
      <c r="G177" s="5" t="n">
        <v>4</v>
      </c>
      <c r="H177" s="6" t="n">
        <f aca="false">IF(G177="","",F177*G177)</f>
        <v>4</v>
      </c>
      <c r="I177" s="2" t="s">
        <v>34</v>
      </c>
    </row>
    <row r="178" customFormat="false" ht="15" hidden="false" customHeight="false" outlineLevel="0" collapsed="false">
      <c r="A178" s="2" t="s">
        <v>152</v>
      </c>
      <c r="B178" s="2" t="s">
        <v>153</v>
      </c>
      <c r="C178" s="2" t="s">
        <v>69</v>
      </c>
      <c r="D178" s="2" t="s">
        <v>96</v>
      </c>
      <c r="E178" s="2" t="s">
        <v>97</v>
      </c>
      <c r="F178" s="4" t="n">
        <v>1</v>
      </c>
      <c r="G178" s="5" t="n">
        <v>5</v>
      </c>
      <c r="H178" s="6" t="n">
        <f aca="false">IF(G178="","",F178*G178)</f>
        <v>5</v>
      </c>
      <c r="I178" s="2" t="s">
        <v>34</v>
      </c>
    </row>
    <row r="179" customFormat="false" ht="15" hidden="false" customHeight="false" outlineLevel="0" collapsed="false">
      <c r="A179" s="2" t="s">
        <v>152</v>
      </c>
      <c r="B179" s="2" t="s">
        <v>153</v>
      </c>
      <c r="C179" s="2" t="s">
        <v>69</v>
      </c>
      <c r="D179" s="2" t="s">
        <v>112</v>
      </c>
      <c r="E179" s="2" t="s">
        <v>113</v>
      </c>
      <c r="F179" s="4" t="n">
        <v>1</v>
      </c>
      <c r="G179" s="5" t="n">
        <v>3.52</v>
      </c>
      <c r="H179" s="6" t="n">
        <f aca="false">IF(G179="","",F179*G179)</f>
        <v>3.52</v>
      </c>
      <c r="I179" s="2" t="s">
        <v>34</v>
      </c>
    </row>
    <row r="180" customFormat="false" ht="15" hidden="false" customHeight="false" outlineLevel="0" collapsed="false">
      <c r="A180" s="2" t="s">
        <v>152</v>
      </c>
      <c r="B180" s="2" t="s">
        <v>153</v>
      </c>
      <c r="C180" s="2" t="s">
        <v>69</v>
      </c>
      <c r="D180" s="2" t="s">
        <v>82</v>
      </c>
      <c r="E180" s="2" t="s">
        <v>83</v>
      </c>
      <c r="F180" s="4" t="n">
        <v>1</v>
      </c>
      <c r="G180" s="6" t="str">
        <f aca="false">IFERROR(IF(INDEX('New Components'!$D$2:$D$23,MATCH(E180,'New Components'!$A$2:$A$23,0))="","",INDEX('New Components'!$D$2:$D$23,MATCH(E180,'New Components'!$A$2:$A$23,0))),"")</f>
        <v/>
      </c>
      <c r="H180" s="6" t="str">
        <f aca="false">IF(G180="","",F180*G180)</f>
        <v/>
      </c>
      <c r="I180" s="2" t="s">
        <v>27</v>
      </c>
    </row>
    <row r="181" customFormat="false" ht="15" hidden="false" customHeight="false" outlineLevel="0" collapsed="false">
      <c r="A181" s="2" t="s">
        <v>152</v>
      </c>
      <c r="B181" s="2" t="s">
        <v>153</v>
      </c>
      <c r="C181" s="2" t="s">
        <v>69</v>
      </c>
      <c r="D181" s="2" t="s">
        <v>37</v>
      </c>
      <c r="E181" s="2" t="s">
        <v>38</v>
      </c>
      <c r="F181" s="4" t="n">
        <v>1</v>
      </c>
      <c r="G181" s="6" t="str">
        <f aca="false">IFERROR(IF(INDEX('New Components'!$D$2:$D$23,MATCH(E181,'New Components'!$A$2:$A$23,0))="","",INDEX('New Components'!$D$2:$D$23,MATCH(E181,'New Components'!$A$2:$A$23,0))),"")</f>
        <v/>
      </c>
      <c r="H181" s="6" t="str">
        <f aca="false">IF(G181="","",F181*G181)</f>
        <v/>
      </c>
      <c r="I181" s="2" t="s">
        <v>27</v>
      </c>
    </row>
    <row r="182" customFormat="false" ht="15" hidden="false" customHeight="false" outlineLevel="0" collapsed="false">
      <c r="A182" s="2" t="s">
        <v>152</v>
      </c>
      <c r="B182" s="2" t="s">
        <v>153</v>
      </c>
      <c r="C182" s="2" t="s">
        <v>69</v>
      </c>
      <c r="D182" s="2" t="s">
        <v>39</v>
      </c>
      <c r="E182" s="2" t="s">
        <v>40</v>
      </c>
      <c r="F182" s="4" t="n">
        <v>1</v>
      </c>
      <c r="G182" s="6" t="str">
        <f aca="false">IFERROR(IF(INDEX('New Components'!$D$2:$D$23,MATCH(E182,'New Components'!$A$2:$A$23,0))="","",INDEX('New Components'!$D$2:$D$23,MATCH(E182,'New Components'!$A$2:$A$23,0))),"")</f>
        <v/>
      </c>
      <c r="H182" s="6" t="str">
        <f aca="false">IF(G182="","",F182*G182)</f>
        <v/>
      </c>
      <c r="I182" s="2" t="s">
        <v>27</v>
      </c>
    </row>
    <row r="183" customFormat="false" ht="15" hidden="false" customHeight="false" outlineLevel="0" collapsed="false">
      <c r="A183" s="2" t="s">
        <v>152</v>
      </c>
      <c r="B183" s="2" t="s">
        <v>153</v>
      </c>
      <c r="C183" s="2" t="s">
        <v>69</v>
      </c>
      <c r="D183" s="2" t="s">
        <v>41</v>
      </c>
      <c r="E183" s="2" t="s">
        <v>42</v>
      </c>
      <c r="F183" s="4" t="n">
        <v>1</v>
      </c>
      <c r="G183" s="5" t="n">
        <v>0.5</v>
      </c>
      <c r="H183" s="6" t="n">
        <f aca="false">IF(G183="","",F183*G183)</f>
        <v>0.5</v>
      </c>
      <c r="I183" s="2" t="s">
        <v>24</v>
      </c>
    </row>
    <row r="184" customFormat="false" ht="15" hidden="false" customHeight="false" outlineLevel="0" collapsed="false">
      <c r="A184" s="2" t="s">
        <v>152</v>
      </c>
      <c r="B184" s="2" t="s">
        <v>153</v>
      </c>
      <c r="C184" s="2" t="s">
        <v>69</v>
      </c>
      <c r="D184" s="2" t="s">
        <v>84</v>
      </c>
      <c r="E184" s="2" t="s">
        <v>85</v>
      </c>
      <c r="F184" s="4" t="n">
        <v>1</v>
      </c>
      <c r="G184" s="5" t="n">
        <v>0.25</v>
      </c>
      <c r="H184" s="6" t="n">
        <f aca="false">IF(G184="","",F184*G184)</f>
        <v>0.25</v>
      </c>
      <c r="I184" s="2" t="s">
        <v>24</v>
      </c>
    </row>
    <row r="185" customFormat="false" ht="15" hidden="false" customHeight="false" outlineLevel="0" collapsed="false">
      <c r="A185" s="2" t="s">
        <v>152</v>
      </c>
      <c r="B185" s="2" t="s">
        <v>153</v>
      </c>
      <c r="C185" s="2" t="s">
        <v>69</v>
      </c>
      <c r="D185" s="2" t="s">
        <v>86</v>
      </c>
      <c r="E185" s="2" t="s">
        <v>87</v>
      </c>
      <c r="F185" s="4" t="n">
        <v>1</v>
      </c>
      <c r="G185" s="5" t="n">
        <v>0.33</v>
      </c>
      <c r="H185" s="6" t="n">
        <f aca="false">IF(G185="","",F185*G185)</f>
        <v>0.33</v>
      </c>
      <c r="I185" s="2" t="s">
        <v>24</v>
      </c>
    </row>
    <row r="186" customFormat="false" ht="15" hidden="false" customHeight="false" outlineLevel="0" collapsed="false">
      <c r="A186" s="2" t="s">
        <v>154</v>
      </c>
      <c r="B186" s="2" t="s">
        <v>155</v>
      </c>
      <c r="C186" s="2" t="s">
        <v>69</v>
      </c>
      <c r="D186" s="2" t="s">
        <v>156</v>
      </c>
      <c r="E186" s="2" t="s">
        <v>157</v>
      </c>
      <c r="F186" s="4" t="n">
        <v>1</v>
      </c>
      <c r="G186" s="5" t="n">
        <v>11.11</v>
      </c>
      <c r="H186" s="6" t="n">
        <f aca="false">IF(G186="","",F186*G186)</f>
        <v>11.11</v>
      </c>
      <c r="I186" s="2" t="s">
        <v>34</v>
      </c>
    </row>
    <row r="187" customFormat="false" ht="15" hidden="false" customHeight="false" outlineLevel="0" collapsed="false">
      <c r="A187" s="2" t="s">
        <v>154</v>
      </c>
      <c r="B187" s="2" t="s">
        <v>155</v>
      </c>
      <c r="C187" s="2" t="s">
        <v>69</v>
      </c>
      <c r="D187" s="2" t="s">
        <v>158</v>
      </c>
      <c r="E187" s="2" t="s">
        <v>159</v>
      </c>
      <c r="F187" s="4" t="n">
        <v>1</v>
      </c>
      <c r="G187" s="5" t="n">
        <v>6.6</v>
      </c>
      <c r="H187" s="6" t="n">
        <f aca="false">IF(G187="","",F187*G187)</f>
        <v>6.6</v>
      </c>
      <c r="I187" s="2" t="s">
        <v>34</v>
      </c>
    </row>
    <row r="188" customFormat="false" ht="15" hidden="false" customHeight="false" outlineLevel="0" collapsed="false">
      <c r="A188" s="2" t="s">
        <v>154</v>
      </c>
      <c r="B188" s="2" t="s">
        <v>155</v>
      </c>
      <c r="C188" s="2" t="s">
        <v>69</v>
      </c>
      <c r="D188" s="2" t="s">
        <v>160</v>
      </c>
      <c r="E188" s="2" t="s">
        <v>161</v>
      </c>
      <c r="F188" s="4" t="n">
        <v>1</v>
      </c>
      <c r="G188" s="6" t="str">
        <f aca="false">IFERROR(IF(INDEX('New Components'!$D$2:$D$23,MATCH(E188,'New Components'!$A$2:$A$23,0))="","",INDEX('New Components'!$D$2:$D$23,MATCH(E188,'New Components'!$A$2:$A$23,0))),"")</f>
        <v/>
      </c>
      <c r="H188" s="6" t="str">
        <f aca="false">IF(G188="","",F188*G188)</f>
        <v/>
      </c>
      <c r="I188" s="2" t="s">
        <v>27</v>
      </c>
    </row>
    <row r="189" customFormat="false" ht="15" hidden="false" customHeight="false" outlineLevel="0" collapsed="false">
      <c r="A189" s="2" t="s">
        <v>154</v>
      </c>
      <c r="B189" s="2" t="s">
        <v>155</v>
      </c>
      <c r="C189" s="2" t="s">
        <v>69</v>
      </c>
      <c r="D189" s="2" t="s">
        <v>162</v>
      </c>
      <c r="E189" s="2" t="s">
        <v>163</v>
      </c>
      <c r="F189" s="4" t="n">
        <v>1</v>
      </c>
      <c r="G189" s="6" t="str">
        <f aca="false">IFERROR(IF(INDEX('New Components'!$D$2:$D$23,MATCH(E189,'New Components'!$A$2:$A$23,0))="","",INDEX('New Components'!$D$2:$D$23,MATCH(E189,'New Components'!$A$2:$A$23,0))),"")</f>
        <v/>
      </c>
      <c r="H189" s="6" t="str">
        <f aca="false">IF(G189="","",F189*G189)</f>
        <v/>
      </c>
      <c r="I189" s="2" t="s">
        <v>27</v>
      </c>
    </row>
    <row r="190" customFormat="false" ht="15" hidden="false" customHeight="false" outlineLevel="0" collapsed="false">
      <c r="A190" s="2" t="s">
        <v>154</v>
      </c>
      <c r="B190" s="2" t="s">
        <v>155</v>
      </c>
      <c r="C190" s="2" t="s">
        <v>69</v>
      </c>
      <c r="D190" s="2" t="s">
        <v>35</v>
      </c>
      <c r="E190" s="2" t="s">
        <v>36</v>
      </c>
      <c r="F190" s="4" t="n">
        <v>1</v>
      </c>
      <c r="G190" s="6" t="str">
        <f aca="false">IFERROR(IF(INDEX('New Components'!$D$2:$D$23,MATCH(E190,'New Components'!$A$2:$A$23,0))="","",INDEX('New Components'!$D$2:$D$23,MATCH(E190,'New Components'!$A$2:$A$23,0))),"")</f>
        <v/>
      </c>
      <c r="H190" s="6" t="str">
        <f aca="false">IF(G190="","",F190*G190)</f>
        <v/>
      </c>
      <c r="I190" s="2" t="s">
        <v>27</v>
      </c>
    </row>
    <row r="191" customFormat="false" ht="15" hidden="false" customHeight="false" outlineLevel="0" collapsed="false">
      <c r="A191" s="2" t="s">
        <v>154</v>
      </c>
      <c r="B191" s="2" t="s">
        <v>155</v>
      </c>
      <c r="C191" s="2" t="s">
        <v>69</v>
      </c>
      <c r="D191" s="2" t="s">
        <v>37</v>
      </c>
      <c r="E191" s="2" t="s">
        <v>38</v>
      </c>
      <c r="F191" s="4" t="n">
        <v>1</v>
      </c>
      <c r="G191" s="6" t="str">
        <f aca="false">IFERROR(IF(INDEX('New Components'!$D$2:$D$23,MATCH(E191,'New Components'!$A$2:$A$23,0))="","",INDEX('New Components'!$D$2:$D$23,MATCH(E191,'New Components'!$A$2:$A$23,0))),"")</f>
        <v/>
      </c>
      <c r="H191" s="6" t="str">
        <f aca="false">IF(G191="","",F191*G191)</f>
        <v/>
      </c>
      <c r="I191" s="2" t="s">
        <v>27</v>
      </c>
    </row>
    <row r="192" customFormat="false" ht="15" hidden="false" customHeight="false" outlineLevel="0" collapsed="false">
      <c r="A192" s="2" t="s">
        <v>154</v>
      </c>
      <c r="B192" s="2" t="s">
        <v>155</v>
      </c>
      <c r="C192" s="2" t="s">
        <v>69</v>
      </c>
      <c r="D192" s="2" t="s">
        <v>39</v>
      </c>
      <c r="E192" s="2" t="s">
        <v>40</v>
      </c>
      <c r="F192" s="4" t="n">
        <v>1</v>
      </c>
      <c r="G192" s="6" t="str">
        <f aca="false">IFERROR(IF(INDEX('New Components'!$D$2:$D$23,MATCH(E192,'New Components'!$A$2:$A$23,0))="","",INDEX('New Components'!$D$2:$D$23,MATCH(E192,'New Components'!$A$2:$A$23,0))),"")</f>
        <v/>
      </c>
      <c r="H192" s="6" t="str">
        <f aca="false">IF(G192="","",F192*G192)</f>
        <v/>
      </c>
      <c r="I192" s="2" t="s">
        <v>27</v>
      </c>
    </row>
    <row r="193" customFormat="false" ht="15" hidden="false" customHeight="false" outlineLevel="0" collapsed="false">
      <c r="A193" s="2" t="s">
        <v>154</v>
      </c>
      <c r="B193" s="2" t="s">
        <v>155</v>
      </c>
      <c r="C193" s="2" t="s">
        <v>69</v>
      </c>
      <c r="D193" s="2" t="s">
        <v>41</v>
      </c>
      <c r="E193" s="2" t="s">
        <v>42</v>
      </c>
      <c r="F193" s="4" t="n">
        <v>1</v>
      </c>
      <c r="G193" s="5" t="n">
        <v>0.5</v>
      </c>
      <c r="H193" s="6" t="n">
        <f aca="false">IF(G193="","",F193*G193)</f>
        <v>0.5</v>
      </c>
      <c r="I193" s="2" t="s">
        <v>24</v>
      </c>
    </row>
    <row r="194" customFormat="false" ht="15" hidden="false" customHeight="false" outlineLevel="0" collapsed="false">
      <c r="A194" s="2" t="s">
        <v>154</v>
      </c>
      <c r="B194" s="2" t="s">
        <v>155</v>
      </c>
      <c r="C194" s="2" t="s">
        <v>69</v>
      </c>
      <c r="D194" s="2" t="s">
        <v>43</v>
      </c>
      <c r="E194" s="2" t="s">
        <v>44</v>
      </c>
      <c r="F194" s="4" t="n">
        <v>1</v>
      </c>
      <c r="G194" s="5" t="n">
        <v>0.25</v>
      </c>
      <c r="H194" s="6" t="n">
        <f aca="false">IF(G194="","",F194*G194)</f>
        <v>0.25</v>
      </c>
      <c r="I194" s="2" t="s">
        <v>24</v>
      </c>
    </row>
    <row r="195" customFormat="false" ht="15" hidden="false" customHeight="false" outlineLevel="0" collapsed="false">
      <c r="A195" s="2" t="s">
        <v>154</v>
      </c>
      <c r="B195" s="2" t="s">
        <v>155</v>
      </c>
      <c r="C195" s="2" t="s">
        <v>69</v>
      </c>
      <c r="D195" s="2" t="s">
        <v>45</v>
      </c>
      <c r="E195" s="2" t="s">
        <v>46</v>
      </c>
      <c r="F195" s="4" t="n">
        <v>1</v>
      </c>
      <c r="G195" s="5" t="n">
        <v>0.33</v>
      </c>
      <c r="H195" s="6" t="n">
        <f aca="false">IF(G195="","",F195*G195)</f>
        <v>0.33</v>
      </c>
      <c r="I195" s="2" t="s">
        <v>24</v>
      </c>
    </row>
    <row r="196" customFormat="false" ht="15" hidden="false" customHeight="false" outlineLevel="0" collapsed="false">
      <c r="A196" s="2" t="s">
        <v>164</v>
      </c>
      <c r="B196" s="2" t="s">
        <v>165</v>
      </c>
      <c r="C196" s="2" t="s">
        <v>69</v>
      </c>
      <c r="D196" s="2" t="s">
        <v>61</v>
      </c>
      <c r="E196" s="2" t="s">
        <v>62</v>
      </c>
      <c r="F196" s="4" t="n">
        <v>1</v>
      </c>
      <c r="G196" s="5" t="n">
        <v>6</v>
      </c>
      <c r="H196" s="6" t="n">
        <f aca="false">IF(G196="","",F196*G196)</f>
        <v>6</v>
      </c>
      <c r="I196" s="2" t="s">
        <v>24</v>
      </c>
    </row>
    <row r="197" customFormat="false" ht="15" hidden="false" customHeight="false" outlineLevel="0" collapsed="false">
      <c r="A197" s="2" t="s">
        <v>164</v>
      </c>
      <c r="B197" s="2" t="s">
        <v>165</v>
      </c>
      <c r="C197" s="2" t="s">
        <v>69</v>
      </c>
      <c r="D197" s="2" t="s">
        <v>55</v>
      </c>
      <c r="E197" s="2" t="s">
        <v>56</v>
      </c>
      <c r="F197" s="4" t="n">
        <v>1</v>
      </c>
      <c r="G197" s="5" t="n">
        <v>2.5</v>
      </c>
      <c r="H197" s="6" t="n">
        <f aca="false">IF(G197="","",F197*G197)</f>
        <v>2.5</v>
      </c>
      <c r="I197" s="2" t="s">
        <v>24</v>
      </c>
    </row>
    <row r="198" customFormat="false" ht="15" hidden="false" customHeight="false" outlineLevel="0" collapsed="false">
      <c r="A198" s="2" t="s">
        <v>164</v>
      </c>
      <c r="B198" s="2" t="s">
        <v>165</v>
      </c>
      <c r="C198" s="2" t="s">
        <v>69</v>
      </c>
      <c r="D198" s="2" t="s">
        <v>158</v>
      </c>
      <c r="E198" s="2" t="s">
        <v>159</v>
      </c>
      <c r="F198" s="4" t="n">
        <v>1</v>
      </c>
      <c r="G198" s="5" t="n">
        <v>6.6</v>
      </c>
      <c r="H198" s="6" t="n">
        <f aca="false">IF(G198="","",F198*G198)</f>
        <v>6.6</v>
      </c>
      <c r="I198" s="2" t="s">
        <v>34</v>
      </c>
    </row>
    <row r="199" customFormat="false" ht="15" hidden="false" customHeight="false" outlineLevel="0" collapsed="false">
      <c r="A199" s="2" t="s">
        <v>164</v>
      </c>
      <c r="B199" s="2" t="s">
        <v>165</v>
      </c>
      <c r="C199" s="2" t="s">
        <v>69</v>
      </c>
      <c r="D199" s="2" t="s">
        <v>32</v>
      </c>
      <c r="E199" s="2" t="s">
        <v>33</v>
      </c>
      <c r="F199" s="4" t="n">
        <v>1</v>
      </c>
      <c r="G199" s="5" t="n">
        <v>4</v>
      </c>
      <c r="H199" s="6" t="n">
        <f aca="false">IF(G199="","",F199*G199)</f>
        <v>4</v>
      </c>
      <c r="I199" s="2" t="s">
        <v>34</v>
      </c>
    </row>
    <row r="200" customFormat="false" ht="15" hidden="false" customHeight="false" outlineLevel="0" collapsed="false">
      <c r="A200" s="2" t="s">
        <v>164</v>
      </c>
      <c r="B200" s="2" t="s">
        <v>165</v>
      </c>
      <c r="C200" s="2" t="s">
        <v>69</v>
      </c>
      <c r="D200" s="2" t="s">
        <v>35</v>
      </c>
      <c r="E200" s="2" t="s">
        <v>36</v>
      </c>
      <c r="F200" s="4" t="n">
        <v>1</v>
      </c>
      <c r="G200" s="6" t="str">
        <f aca="false">IFERROR(IF(INDEX('New Components'!$D$2:$D$23,MATCH(E200,'New Components'!$A$2:$A$23,0))="","",INDEX('New Components'!$D$2:$D$23,MATCH(E200,'New Components'!$A$2:$A$23,0))),"")</f>
        <v/>
      </c>
      <c r="H200" s="6" t="str">
        <f aca="false">IF(G200="","",F200*G200)</f>
        <v/>
      </c>
      <c r="I200" s="2" t="s">
        <v>27</v>
      </c>
    </row>
    <row r="201" customFormat="false" ht="15" hidden="false" customHeight="false" outlineLevel="0" collapsed="false">
      <c r="A201" s="2" t="s">
        <v>164</v>
      </c>
      <c r="B201" s="2" t="s">
        <v>165</v>
      </c>
      <c r="C201" s="2" t="s">
        <v>69</v>
      </c>
      <c r="D201" s="2" t="s">
        <v>37</v>
      </c>
      <c r="E201" s="2" t="s">
        <v>38</v>
      </c>
      <c r="F201" s="4" t="n">
        <v>1</v>
      </c>
      <c r="G201" s="6" t="str">
        <f aca="false">IFERROR(IF(INDEX('New Components'!$D$2:$D$23,MATCH(E201,'New Components'!$A$2:$A$23,0))="","",INDEX('New Components'!$D$2:$D$23,MATCH(E201,'New Components'!$A$2:$A$23,0))),"")</f>
        <v/>
      </c>
      <c r="H201" s="6" t="str">
        <f aca="false">IF(G201="","",F201*G201)</f>
        <v/>
      </c>
      <c r="I201" s="2" t="s">
        <v>27</v>
      </c>
    </row>
    <row r="202" customFormat="false" ht="15" hidden="false" customHeight="false" outlineLevel="0" collapsed="false">
      <c r="A202" s="2" t="s">
        <v>164</v>
      </c>
      <c r="B202" s="2" t="s">
        <v>165</v>
      </c>
      <c r="C202" s="2" t="s">
        <v>69</v>
      </c>
      <c r="D202" s="2" t="s">
        <v>39</v>
      </c>
      <c r="E202" s="2" t="s">
        <v>40</v>
      </c>
      <c r="F202" s="4" t="n">
        <v>1</v>
      </c>
      <c r="G202" s="6" t="str">
        <f aca="false">IFERROR(IF(INDEX('New Components'!$D$2:$D$23,MATCH(E202,'New Components'!$A$2:$A$23,0))="","",INDEX('New Components'!$D$2:$D$23,MATCH(E202,'New Components'!$A$2:$A$23,0))),"")</f>
        <v/>
      </c>
      <c r="H202" s="6" t="str">
        <f aca="false">IF(G202="","",F202*G202)</f>
        <v/>
      </c>
      <c r="I202" s="2" t="s">
        <v>27</v>
      </c>
    </row>
    <row r="203" customFormat="false" ht="15" hidden="false" customHeight="false" outlineLevel="0" collapsed="false">
      <c r="A203" s="2" t="s">
        <v>164</v>
      </c>
      <c r="B203" s="2" t="s">
        <v>165</v>
      </c>
      <c r="C203" s="2" t="s">
        <v>69</v>
      </c>
      <c r="D203" s="2" t="s">
        <v>41</v>
      </c>
      <c r="E203" s="2" t="s">
        <v>42</v>
      </c>
      <c r="F203" s="4" t="n">
        <v>1</v>
      </c>
      <c r="G203" s="5" t="n">
        <v>0.5</v>
      </c>
      <c r="H203" s="6" t="n">
        <f aca="false">IF(G203="","",F203*G203)</f>
        <v>0.5</v>
      </c>
      <c r="I203" s="2" t="s">
        <v>24</v>
      </c>
    </row>
    <row r="204" customFormat="false" ht="15" hidden="false" customHeight="false" outlineLevel="0" collapsed="false">
      <c r="A204" s="2" t="s">
        <v>164</v>
      </c>
      <c r="B204" s="2" t="s">
        <v>165</v>
      </c>
      <c r="C204" s="2" t="s">
        <v>69</v>
      </c>
      <c r="D204" s="2" t="s">
        <v>43</v>
      </c>
      <c r="E204" s="2" t="s">
        <v>44</v>
      </c>
      <c r="F204" s="4" t="n">
        <v>1</v>
      </c>
      <c r="G204" s="5" t="n">
        <v>0.25</v>
      </c>
      <c r="H204" s="6" t="n">
        <f aca="false">IF(G204="","",F204*G204)</f>
        <v>0.25</v>
      </c>
      <c r="I204" s="2" t="s">
        <v>24</v>
      </c>
    </row>
    <row r="205" customFormat="false" ht="15" hidden="false" customHeight="false" outlineLevel="0" collapsed="false">
      <c r="A205" s="2" t="s">
        <v>164</v>
      </c>
      <c r="B205" s="2" t="s">
        <v>165</v>
      </c>
      <c r="C205" s="2" t="s">
        <v>69</v>
      </c>
      <c r="D205" s="2" t="s">
        <v>45</v>
      </c>
      <c r="E205" s="2" t="s">
        <v>46</v>
      </c>
      <c r="F205" s="4" t="n">
        <v>1</v>
      </c>
      <c r="G205" s="5" t="n">
        <v>0.33</v>
      </c>
      <c r="H205" s="6" t="n">
        <f aca="false">IF(G205="","",F205*G205)</f>
        <v>0.33</v>
      </c>
      <c r="I205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3" t="s">
        <v>11</v>
      </c>
      <c r="B1" s="3" t="s">
        <v>14</v>
      </c>
      <c r="C1" s="3" t="s">
        <v>15</v>
      </c>
    </row>
    <row r="2" customFormat="false" ht="15" hidden="false" customHeight="false" outlineLevel="0" collapsed="false">
      <c r="A2" s="2" t="s">
        <v>20</v>
      </c>
      <c r="B2" s="2" t="s">
        <v>23</v>
      </c>
      <c r="C2" s="2" t="n">
        <v>1</v>
      </c>
    </row>
    <row r="3" customFormat="false" ht="15" hidden="false" customHeight="false" outlineLevel="0" collapsed="false">
      <c r="A3" s="2" t="s">
        <v>20</v>
      </c>
      <c r="B3" s="2" t="s">
        <v>26</v>
      </c>
      <c r="C3" s="2" t="n">
        <v>1</v>
      </c>
    </row>
    <row r="4" customFormat="false" ht="15" hidden="false" customHeight="false" outlineLevel="0" collapsed="false">
      <c r="A4" s="2" t="s">
        <v>20</v>
      </c>
      <c r="B4" s="2" t="s">
        <v>29</v>
      </c>
      <c r="C4" s="2" t="n">
        <v>1</v>
      </c>
    </row>
    <row r="5" customFormat="false" ht="15" hidden="false" customHeight="false" outlineLevel="0" collapsed="false">
      <c r="A5" s="2" t="s">
        <v>20</v>
      </c>
      <c r="B5" s="2" t="s">
        <v>31</v>
      </c>
      <c r="C5" s="2" t="n">
        <v>1</v>
      </c>
    </row>
    <row r="6" customFormat="false" ht="15" hidden="false" customHeight="false" outlineLevel="0" collapsed="false">
      <c r="A6" s="2" t="s">
        <v>20</v>
      </c>
      <c r="B6" s="2" t="s">
        <v>33</v>
      </c>
      <c r="C6" s="2" t="n">
        <v>1</v>
      </c>
    </row>
    <row r="7" customFormat="false" ht="15" hidden="false" customHeight="false" outlineLevel="0" collapsed="false">
      <c r="A7" s="2" t="s">
        <v>20</v>
      </c>
      <c r="B7" s="2" t="s">
        <v>36</v>
      </c>
      <c r="C7" s="2" t="n">
        <v>1</v>
      </c>
    </row>
    <row r="8" customFormat="false" ht="15" hidden="false" customHeight="false" outlineLevel="0" collapsed="false">
      <c r="A8" s="2" t="s">
        <v>20</v>
      </c>
      <c r="B8" s="2" t="s">
        <v>38</v>
      </c>
      <c r="C8" s="2" t="n">
        <v>1</v>
      </c>
    </row>
    <row r="9" customFormat="false" ht="15" hidden="false" customHeight="false" outlineLevel="0" collapsed="false">
      <c r="A9" s="2" t="s">
        <v>20</v>
      </c>
      <c r="B9" s="2" t="s">
        <v>40</v>
      </c>
      <c r="C9" s="2" t="n">
        <v>1</v>
      </c>
    </row>
    <row r="10" customFormat="false" ht="15" hidden="false" customHeight="false" outlineLevel="0" collapsed="false">
      <c r="A10" s="2" t="s">
        <v>20</v>
      </c>
      <c r="B10" s="2" t="s">
        <v>42</v>
      </c>
      <c r="C10" s="2" t="n">
        <v>1</v>
      </c>
    </row>
    <row r="11" customFormat="false" ht="15" hidden="false" customHeight="false" outlineLevel="0" collapsed="false">
      <c r="A11" s="2" t="s">
        <v>20</v>
      </c>
      <c r="B11" s="2" t="s">
        <v>44</v>
      </c>
      <c r="C11" s="2" t="n">
        <v>1</v>
      </c>
    </row>
    <row r="12" customFormat="false" ht="15" hidden="false" customHeight="false" outlineLevel="0" collapsed="false">
      <c r="A12" s="2" t="s">
        <v>20</v>
      </c>
      <c r="B12" s="2" t="s">
        <v>46</v>
      </c>
      <c r="C12" s="2" t="n">
        <v>1</v>
      </c>
    </row>
    <row r="13" customFormat="false" ht="15" hidden="false" customHeight="false" outlineLevel="0" collapsed="false">
      <c r="A13" s="2" t="s">
        <v>47</v>
      </c>
      <c r="B13" s="2" t="s">
        <v>26</v>
      </c>
      <c r="C13" s="2" t="n">
        <v>1</v>
      </c>
    </row>
    <row r="14" customFormat="false" ht="15" hidden="false" customHeight="false" outlineLevel="0" collapsed="false">
      <c r="A14" s="2" t="s">
        <v>47</v>
      </c>
      <c r="B14" s="2" t="s">
        <v>29</v>
      </c>
      <c r="C14" s="2" t="n">
        <v>1</v>
      </c>
    </row>
    <row r="15" customFormat="false" ht="15" hidden="false" customHeight="false" outlineLevel="0" collapsed="false">
      <c r="A15" s="2" t="s">
        <v>47</v>
      </c>
      <c r="B15" s="2" t="s">
        <v>31</v>
      </c>
      <c r="C15" s="2" t="n">
        <v>1</v>
      </c>
    </row>
    <row r="16" customFormat="false" ht="15" hidden="false" customHeight="false" outlineLevel="0" collapsed="false">
      <c r="A16" s="2" t="s">
        <v>47</v>
      </c>
      <c r="B16" s="2" t="s">
        <v>33</v>
      </c>
      <c r="C16" s="2" t="n">
        <v>1</v>
      </c>
    </row>
    <row r="17" customFormat="false" ht="15" hidden="false" customHeight="false" outlineLevel="0" collapsed="false">
      <c r="A17" s="2" t="s">
        <v>47</v>
      </c>
      <c r="B17" s="2" t="s">
        <v>50</v>
      </c>
      <c r="C17" s="2" t="n">
        <v>1</v>
      </c>
    </row>
    <row r="18" customFormat="false" ht="15" hidden="false" customHeight="false" outlineLevel="0" collapsed="false">
      <c r="A18" s="2" t="s">
        <v>47</v>
      </c>
      <c r="B18" s="2" t="s">
        <v>36</v>
      </c>
      <c r="C18" s="2" t="n">
        <v>1</v>
      </c>
    </row>
    <row r="19" customFormat="false" ht="15" hidden="false" customHeight="false" outlineLevel="0" collapsed="false">
      <c r="A19" s="2" t="s">
        <v>47</v>
      </c>
      <c r="B19" s="2" t="s">
        <v>38</v>
      </c>
      <c r="C19" s="2" t="n">
        <v>1</v>
      </c>
    </row>
    <row r="20" customFormat="false" ht="15" hidden="false" customHeight="false" outlineLevel="0" collapsed="false">
      <c r="A20" s="2" t="s">
        <v>47</v>
      </c>
      <c r="B20" s="2" t="s">
        <v>40</v>
      </c>
      <c r="C20" s="2" t="n">
        <v>1</v>
      </c>
    </row>
    <row r="21" customFormat="false" ht="15" hidden="false" customHeight="false" outlineLevel="0" collapsed="false">
      <c r="A21" s="2" t="s">
        <v>47</v>
      </c>
      <c r="B21" s="2" t="s">
        <v>42</v>
      </c>
      <c r="C21" s="2" t="n">
        <v>1</v>
      </c>
    </row>
    <row r="22" customFormat="false" ht="15" hidden="false" customHeight="false" outlineLevel="0" collapsed="false">
      <c r="A22" s="2" t="s">
        <v>47</v>
      </c>
      <c r="B22" s="2" t="s">
        <v>44</v>
      </c>
      <c r="C22" s="2" t="n">
        <v>1</v>
      </c>
    </row>
    <row r="23" customFormat="false" ht="15" hidden="false" customHeight="false" outlineLevel="0" collapsed="false">
      <c r="A23" s="2" t="s">
        <v>47</v>
      </c>
      <c r="B23" s="2" t="s">
        <v>46</v>
      </c>
      <c r="C23" s="2" t="n">
        <v>1</v>
      </c>
    </row>
    <row r="24" customFormat="false" ht="15" hidden="false" customHeight="false" outlineLevel="0" collapsed="false">
      <c r="A24" s="2" t="s">
        <v>52</v>
      </c>
      <c r="B24" s="2" t="s">
        <v>54</v>
      </c>
      <c r="C24" s="2" t="n">
        <v>1</v>
      </c>
    </row>
    <row r="25" customFormat="false" ht="15" hidden="false" customHeight="false" outlineLevel="0" collapsed="false">
      <c r="A25" s="2" t="s">
        <v>52</v>
      </c>
      <c r="B25" s="2" t="s">
        <v>56</v>
      </c>
      <c r="C25" s="2" t="n">
        <v>1</v>
      </c>
    </row>
    <row r="26" customFormat="false" ht="15" hidden="false" customHeight="false" outlineLevel="0" collapsed="false">
      <c r="A26" s="2" t="s">
        <v>52</v>
      </c>
      <c r="B26" s="2" t="s">
        <v>58</v>
      </c>
      <c r="C26" s="2" t="n">
        <v>2</v>
      </c>
    </row>
    <row r="27" customFormat="false" ht="15" hidden="false" customHeight="false" outlineLevel="0" collapsed="false">
      <c r="A27" s="2" t="s">
        <v>52</v>
      </c>
      <c r="B27" s="2" t="s">
        <v>60</v>
      </c>
      <c r="C27" s="2" t="n">
        <v>1</v>
      </c>
    </row>
    <row r="28" customFormat="false" ht="15" hidden="false" customHeight="false" outlineLevel="0" collapsed="false">
      <c r="A28" s="2" t="s">
        <v>52</v>
      </c>
      <c r="B28" s="2" t="s">
        <v>62</v>
      </c>
      <c r="C28" s="2" t="n">
        <v>1</v>
      </c>
    </row>
    <row r="29" customFormat="false" ht="15" hidden="false" customHeight="false" outlineLevel="0" collapsed="false">
      <c r="A29" s="2" t="s">
        <v>52</v>
      </c>
      <c r="B29" s="2" t="s">
        <v>33</v>
      </c>
      <c r="C29" s="2" t="n">
        <v>1</v>
      </c>
    </row>
    <row r="30" customFormat="false" ht="15" hidden="false" customHeight="false" outlineLevel="0" collapsed="false">
      <c r="A30" s="2" t="s">
        <v>52</v>
      </c>
      <c r="B30" s="2" t="s">
        <v>36</v>
      </c>
      <c r="C30" s="2" t="n">
        <v>1</v>
      </c>
    </row>
    <row r="31" customFormat="false" ht="15" hidden="false" customHeight="false" outlineLevel="0" collapsed="false">
      <c r="A31" s="2" t="s">
        <v>52</v>
      </c>
      <c r="B31" s="2" t="s">
        <v>38</v>
      </c>
      <c r="C31" s="2" t="n">
        <v>1</v>
      </c>
    </row>
    <row r="32" customFormat="false" ht="15" hidden="false" customHeight="false" outlineLevel="0" collapsed="false">
      <c r="A32" s="2" t="s">
        <v>52</v>
      </c>
      <c r="B32" s="2" t="s">
        <v>40</v>
      </c>
      <c r="C32" s="2" t="n">
        <v>1</v>
      </c>
    </row>
    <row r="33" customFormat="false" ht="15" hidden="false" customHeight="false" outlineLevel="0" collapsed="false">
      <c r="A33" s="2" t="s">
        <v>52</v>
      </c>
      <c r="B33" s="2" t="s">
        <v>42</v>
      </c>
      <c r="C33" s="2" t="n">
        <v>1</v>
      </c>
    </row>
    <row r="34" customFormat="false" ht="15" hidden="false" customHeight="false" outlineLevel="0" collapsed="false">
      <c r="A34" s="2" t="s">
        <v>52</v>
      </c>
      <c r="B34" s="2" t="s">
        <v>44</v>
      </c>
      <c r="C34" s="2" t="n">
        <v>1</v>
      </c>
    </row>
    <row r="35" customFormat="false" ht="15" hidden="false" customHeight="false" outlineLevel="0" collapsed="false">
      <c r="A35" s="2" t="s">
        <v>52</v>
      </c>
      <c r="B35" s="2" t="s">
        <v>46</v>
      </c>
      <c r="C35" s="2" t="n">
        <v>1</v>
      </c>
    </row>
    <row r="36" customFormat="false" ht="15" hidden="false" customHeight="false" outlineLevel="0" collapsed="false">
      <c r="A36" s="2" t="s">
        <v>63</v>
      </c>
      <c r="B36" s="2" t="s">
        <v>54</v>
      </c>
      <c r="C36" s="2" t="n">
        <v>1</v>
      </c>
    </row>
    <row r="37" customFormat="false" ht="15" hidden="false" customHeight="false" outlineLevel="0" collapsed="false">
      <c r="A37" s="2" t="s">
        <v>63</v>
      </c>
      <c r="B37" s="2" t="s">
        <v>56</v>
      </c>
      <c r="C37" s="2" t="n">
        <v>1</v>
      </c>
    </row>
    <row r="38" customFormat="false" ht="15" hidden="false" customHeight="false" outlineLevel="0" collapsed="false">
      <c r="A38" s="2" t="s">
        <v>63</v>
      </c>
      <c r="B38" s="2" t="s">
        <v>58</v>
      </c>
      <c r="C38" s="2" t="n">
        <v>2</v>
      </c>
    </row>
    <row r="39" customFormat="false" ht="15" hidden="false" customHeight="false" outlineLevel="0" collapsed="false">
      <c r="A39" s="2" t="s">
        <v>63</v>
      </c>
      <c r="B39" s="2" t="s">
        <v>60</v>
      </c>
      <c r="C39" s="2" t="n">
        <v>1</v>
      </c>
    </row>
    <row r="40" customFormat="false" ht="15" hidden="false" customHeight="false" outlineLevel="0" collapsed="false">
      <c r="A40" s="2" t="s">
        <v>63</v>
      </c>
      <c r="B40" s="2" t="s">
        <v>62</v>
      </c>
      <c r="C40" s="2" t="n">
        <v>1</v>
      </c>
    </row>
    <row r="41" customFormat="false" ht="15" hidden="false" customHeight="false" outlineLevel="0" collapsed="false">
      <c r="A41" s="2" t="s">
        <v>63</v>
      </c>
      <c r="B41" s="2" t="s">
        <v>33</v>
      </c>
      <c r="C41" s="2" t="n">
        <v>1</v>
      </c>
    </row>
    <row r="42" customFormat="false" ht="15" hidden="false" customHeight="false" outlineLevel="0" collapsed="false">
      <c r="A42" s="2" t="s">
        <v>63</v>
      </c>
      <c r="B42" s="2" t="s">
        <v>66</v>
      </c>
      <c r="C42" s="2" t="n">
        <v>1</v>
      </c>
    </row>
    <row r="43" customFormat="false" ht="15" hidden="false" customHeight="false" outlineLevel="0" collapsed="false">
      <c r="A43" s="2" t="s">
        <v>63</v>
      </c>
      <c r="B43" s="2" t="s">
        <v>36</v>
      </c>
      <c r="C43" s="2" t="n">
        <v>1</v>
      </c>
    </row>
    <row r="44" customFormat="false" ht="15" hidden="false" customHeight="false" outlineLevel="0" collapsed="false">
      <c r="A44" s="2" t="s">
        <v>63</v>
      </c>
      <c r="B44" s="2" t="s">
        <v>38</v>
      </c>
      <c r="C44" s="2" t="n">
        <v>1</v>
      </c>
    </row>
    <row r="45" customFormat="false" ht="15" hidden="false" customHeight="false" outlineLevel="0" collapsed="false">
      <c r="A45" s="2" t="s">
        <v>63</v>
      </c>
      <c r="B45" s="2" t="s">
        <v>40</v>
      </c>
      <c r="C45" s="2" t="n">
        <v>1</v>
      </c>
    </row>
    <row r="46" customFormat="false" ht="15" hidden="false" customHeight="false" outlineLevel="0" collapsed="false">
      <c r="A46" s="2" t="s">
        <v>63</v>
      </c>
      <c r="B46" s="2" t="s">
        <v>42</v>
      </c>
      <c r="C46" s="2" t="n">
        <v>1</v>
      </c>
    </row>
    <row r="47" customFormat="false" ht="15" hidden="false" customHeight="false" outlineLevel="0" collapsed="false">
      <c r="A47" s="2" t="s">
        <v>63</v>
      </c>
      <c r="B47" s="2" t="s">
        <v>44</v>
      </c>
      <c r="C47" s="2" t="n">
        <v>1</v>
      </c>
    </row>
    <row r="48" customFormat="false" ht="15" hidden="false" customHeight="false" outlineLevel="0" collapsed="false">
      <c r="A48" s="2" t="s">
        <v>63</v>
      </c>
      <c r="B48" s="2" t="s">
        <v>46</v>
      </c>
      <c r="C48" s="2" t="n">
        <v>1</v>
      </c>
    </row>
    <row r="49" customFormat="false" ht="15" hidden="false" customHeight="false" outlineLevel="0" collapsed="false">
      <c r="A49" s="2" t="s">
        <v>68</v>
      </c>
      <c r="B49" s="2" t="s">
        <v>71</v>
      </c>
      <c r="C49" s="2" t="n">
        <v>1</v>
      </c>
    </row>
    <row r="50" customFormat="false" ht="15" hidden="false" customHeight="false" outlineLevel="0" collapsed="false">
      <c r="A50" s="2" t="s">
        <v>68</v>
      </c>
      <c r="B50" s="2" t="s">
        <v>73</v>
      </c>
      <c r="C50" s="2" t="n">
        <v>1</v>
      </c>
    </row>
    <row r="51" customFormat="false" ht="15" hidden="false" customHeight="false" outlineLevel="0" collapsed="false">
      <c r="A51" s="2" t="s">
        <v>68</v>
      </c>
      <c r="B51" s="2" t="s">
        <v>75</v>
      </c>
      <c r="C51" s="2" t="n">
        <v>1</v>
      </c>
    </row>
    <row r="52" customFormat="false" ht="15" hidden="false" customHeight="false" outlineLevel="0" collapsed="false">
      <c r="A52" s="2" t="s">
        <v>68</v>
      </c>
      <c r="B52" s="2" t="s">
        <v>77</v>
      </c>
      <c r="C52" s="2" t="n">
        <v>1</v>
      </c>
    </row>
    <row r="53" customFormat="false" ht="15" hidden="false" customHeight="false" outlineLevel="0" collapsed="false">
      <c r="A53" s="2" t="s">
        <v>68</v>
      </c>
      <c r="B53" s="2" t="s">
        <v>79</v>
      </c>
      <c r="C53" s="2" t="n">
        <v>1</v>
      </c>
    </row>
    <row r="54" customFormat="false" ht="15" hidden="false" customHeight="false" outlineLevel="0" collapsed="false">
      <c r="A54" s="2" t="s">
        <v>68</v>
      </c>
      <c r="B54" s="2" t="s">
        <v>81</v>
      </c>
      <c r="C54" s="2" t="n">
        <v>2</v>
      </c>
    </row>
    <row r="55" customFormat="false" ht="15" hidden="false" customHeight="false" outlineLevel="0" collapsed="false">
      <c r="A55" s="2" t="s">
        <v>68</v>
      </c>
      <c r="B55" s="2" t="s">
        <v>33</v>
      </c>
      <c r="C55" s="2" t="n">
        <v>1</v>
      </c>
    </row>
    <row r="56" customFormat="false" ht="15" hidden="false" customHeight="false" outlineLevel="0" collapsed="false">
      <c r="A56" s="2" t="s">
        <v>68</v>
      </c>
      <c r="B56" s="2" t="s">
        <v>83</v>
      </c>
      <c r="C56" s="2" t="n">
        <v>1</v>
      </c>
    </row>
    <row r="57" customFormat="false" ht="15" hidden="false" customHeight="false" outlineLevel="0" collapsed="false">
      <c r="A57" s="2" t="s">
        <v>68</v>
      </c>
      <c r="B57" s="2" t="s">
        <v>38</v>
      </c>
      <c r="C57" s="2" t="n">
        <v>1</v>
      </c>
    </row>
    <row r="58" customFormat="false" ht="15" hidden="false" customHeight="false" outlineLevel="0" collapsed="false">
      <c r="A58" s="2" t="s">
        <v>68</v>
      </c>
      <c r="B58" s="2" t="s">
        <v>40</v>
      </c>
      <c r="C58" s="2" t="n">
        <v>1</v>
      </c>
    </row>
    <row r="59" customFormat="false" ht="15" hidden="false" customHeight="false" outlineLevel="0" collapsed="false">
      <c r="A59" s="2" t="s">
        <v>68</v>
      </c>
      <c r="B59" s="2" t="s">
        <v>42</v>
      </c>
      <c r="C59" s="2" t="n">
        <v>1</v>
      </c>
    </row>
    <row r="60" customFormat="false" ht="15" hidden="false" customHeight="false" outlineLevel="0" collapsed="false">
      <c r="A60" s="2" t="s">
        <v>68</v>
      </c>
      <c r="B60" s="2" t="s">
        <v>85</v>
      </c>
      <c r="C60" s="2" t="n">
        <v>1</v>
      </c>
    </row>
    <row r="61" customFormat="false" ht="15" hidden="false" customHeight="false" outlineLevel="0" collapsed="false">
      <c r="A61" s="2" t="s">
        <v>68</v>
      </c>
      <c r="B61" s="2" t="s">
        <v>87</v>
      </c>
      <c r="C61" s="2" t="n">
        <v>1</v>
      </c>
    </row>
    <row r="62" customFormat="false" ht="15" hidden="false" customHeight="false" outlineLevel="0" collapsed="false">
      <c r="A62" s="2" t="s">
        <v>89</v>
      </c>
      <c r="B62" s="2" t="s">
        <v>79</v>
      </c>
      <c r="C62" s="2" t="n">
        <v>1</v>
      </c>
    </row>
    <row r="63" customFormat="false" ht="15" hidden="false" customHeight="false" outlineLevel="0" collapsed="false">
      <c r="A63" s="2" t="s">
        <v>89</v>
      </c>
      <c r="B63" s="2" t="s">
        <v>91</v>
      </c>
      <c r="C63" s="2" t="n">
        <v>1</v>
      </c>
    </row>
    <row r="64" customFormat="false" ht="15" hidden="false" customHeight="false" outlineLevel="0" collapsed="false">
      <c r="A64" s="2" t="s">
        <v>89</v>
      </c>
      <c r="B64" s="2" t="s">
        <v>93</v>
      </c>
      <c r="C64" s="2" t="n">
        <v>1</v>
      </c>
    </row>
    <row r="65" customFormat="false" ht="15" hidden="false" customHeight="false" outlineLevel="0" collapsed="false">
      <c r="A65" s="2" t="s">
        <v>89</v>
      </c>
      <c r="B65" s="2" t="s">
        <v>77</v>
      </c>
      <c r="C65" s="2" t="n">
        <v>1</v>
      </c>
    </row>
    <row r="66" customFormat="false" ht="15" hidden="false" customHeight="false" outlineLevel="0" collapsed="false">
      <c r="A66" s="2" t="s">
        <v>89</v>
      </c>
      <c r="B66" s="2" t="s">
        <v>95</v>
      </c>
      <c r="C66" s="2" t="n">
        <v>1</v>
      </c>
    </row>
    <row r="67" customFormat="false" ht="15" hidden="false" customHeight="false" outlineLevel="0" collapsed="false">
      <c r="A67" s="2" t="s">
        <v>89</v>
      </c>
      <c r="B67" s="2" t="s">
        <v>97</v>
      </c>
      <c r="C67" s="2" t="n">
        <v>1</v>
      </c>
    </row>
    <row r="68" customFormat="false" ht="15" hidden="false" customHeight="false" outlineLevel="0" collapsed="false">
      <c r="A68" s="2" t="s">
        <v>89</v>
      </c>
      <c r="B68" s="2" t="s">
        <v>36</v>
      </c>
      <c r="C68" s="2" t="n">
        <v>1</v>
      </c>
    </row>
    <row r="69" customFormat="false" ht="15" hidden="false" customHeight="false" outlineLevel="0" collapsed="false">
      <c r="A69" s="2" t="s">
        <v>89</v>
      </c>
      <c r="B69" s="2" t="s">
        <v>38</v>
      </c>
      <c r="C69" s="2" t="n">
        <v>1</v>
      </c>
    </row>
    <row r="70" customFormat="false" ht="15" hidden="false" customHeight="false" outlineLevel="0" collapsed="false">
      <c r="A70" s="2" t="s">
        <v>89</v>
      </c>
      <c r="B70" s="2" t="s">
        <v>40</v>
      </c>
      <c r="C70" s="2" t="n">
        <v>1</v>
      </c>
    </row>
    <row r="71" customFormat="false" ht="15" hidden="false" customHeight="false" outlineLevel="0" collapsed="false">
      <c r="A71" s="2" t="s">
        <v>89</v>
      </c>
      <c r="B71" s="2" t="s">
        <v>42</v>
      </c>
      <c r="C71" s="2" t="n">
        <v>1</v>
      </c>
    </row>
    <row r="72" customFormat="false" ht="15" hidden="false" customHeight="false" outlineLevel="0" collapsed="false">
      <c r="A72" s="2" t="s">
        <v>89</v>
      </c>
      <c r="B72" s="2" t="s">
        <v>44</v>
      </c>
      <c r="C72" s="2" t="n">
        <v>1</v>
      </c>
    </row>
    <row r="73" customFormat="false" ht="15" hidden="false" customHeight="false" outlineLevel="0" collapsed="false">
      <c r="A73" s="2" t="s">
        <v>89</v>
      </c>
      <c r="B73" s="2" t="s">
        <v>46</v>
      </c>
      <c r="C73" s="2" t="n">
        <v>1</v>
      </c>
    </row>
    <row r="74" customFormat="false" ht="15" hidden="false" customHeight="false" outlineLevel="0" collapsed="false">
      <c r="A74" s="2" t="s">
        <v>99</v>
      </c>
      <c r="B74" s="2" t="s">
        <v>101</v>
      </c>
      <c r="C74" s="2" t="n">
        <v>1</v>
      </c>
    </row>
    <row r="75" customFormat="false" ht="15" hidden="false" customHeight="false" outlineLevel="0" collapsed="false">
      <c r="A75" s="2" t="s">
        <v>99</v>
      </c>
      <c r="B75" s="2" t="s">
        <v>56</v>
      </c>
      <c r="C75" s="2" t="n">
        <v>1</v>
      </c>
    </row>
    <row r="76" customFormat="false" ht="15" hidden="false" customHeight="false" outlineLevel="0" collapsed="false">
      <c r="A76" s="2" t="s">
        <v>99</v>
      </c>
      <c r="B76" s="2" t="s">
        <v>103</v>
      </c>
      <c r="C76" s="2" t="n">
        <v>1</v>
      </c>
    </row>
    <row r="77" customFormat="false" ht="15" hidden="false" customHeight="false" outlineLevel="0" collapsed="false">
      <c r="A77" s="2" t="s">
        <v>99</v>
      </c>
      <c r="B77" s="2" t="s">
        <v>60</v>
      </c>
      <c r="C77" s="2" t="n">
        <v>1</v>
      </c>
    </row>
    <row r="78" customFormat="false" ht="15" hidden="false" customHeight="false" outlineLevel="0" collapsed="false">
      <c r="A78" s="2" t="s">
        <v>99</v>
      </c>
      <c r="B78" s="2" t="s">
        <v>105</v>
      </c>
      <c r="C78" s="2" t="n">
        <v>1</v>
      </c>
    </row>
    <row r="79" customFormat="false" ht="15" hidden="false" customHeight="false" outlineLevel="0" collapsed="false">
      <c r="A79" s="2" t="s">
        <v>99</v>
      </c>
      <c r="B79" s="2" t="s">
        <v>83</v>
      </c>
      <c r="C79" s="2" t="n">
        <v>1</v>
      </c>
    </row>
    <row r="80" customFormat="false" ht="15" hidden="false" customHeight="false" outlineLevel="0" collapsed="false">
      <c r="A80" s="2" t="s">
        <v>99</v>
      </c>
      <c r="B80" s="2" t="s">
        <v>38</v>
      </c>
      <c r="C80" s="2" t="n">
        <v>1</v>
      </c>
    </row>
    <row r="81" customFormat="false" ht="15" hidden="false" customHeight="false" outlineLevel="0" collapsed="false">
      <c r="A81" s="2" t="s">
        <v>99</v>
      </c>
      <c r="B81" s="2" t="s">
        <v>40</v>
      </c>
      <c r="C81" s="2" t="n">
        <v>1</v>
      </c>
    </row>
    <row r="82" customFormat="false" ht="15" hidden="false" customHeight="false" outlineLevel="0" collapsed="false">
      <c r="A82" s="2" t="s">
        <v>99</v>
      </c>
      <c r="B82" s="2" t="s">
        <v>42</v>
      </c>
      <c r="C82" s="2" t="n">
        <v>1</v>
      </c>
    </row>
    <row r="83" customFormat="false" ht="15" hidden="false" customHeight="false" outlineLevel="0" collapsed="false">
      <c r="A83" s="2" t="s">
        <v>99</v>
      </c>
      <c r="B83" s="2" t="s">
        <v>85</v>
      </c>
      <c r="C83" s="2" t="n">
        <v>1</v>
      </c>
    </row>
    <row r="84" customFormat="false" ht="15" hidden="false" customHeight="false" outlineLevel="0" collapsed="false">
      <c r="A84" s="2" t="s">
        <v>99</v>
      </c>
      <c r="B84" s="2" t="s">
        <v>87</v>
      </c>
      <c r="C84" s="2" t="n">
        <v>1</v>
      </c>
    </row>
    <row r="85" customFormat="false" ht="15" hidden="false" customHeight="false" outlineLevel="0" collapsed="false">
      <c r="A85" s="2" t="s">
        <v>107</v>
      </c>
      <c r="B85" s="2" t="s">
        <v>109</v>
      </c>
      <c r="C85" s="2" t="n">
        <v>2</v>
      </c>
    </row>
    <row r="86" customFormat="false" ht="15" hidden="false" customHeight="false" outlineLevel="0" collapsed="false">
      <c r="A86" s="2" t="s">
        <v>107</v>
      </c>
      <c r="B86" s="2" t="s">
        <v>111</v>
      </c>
      <c r="C86" s="2" t="n">
        <v>2</v>
      </c>
    </row>
    <row r="87" customFormat="false" ht="15" hidden="false" customHeight="false" outlineLevel="0" collapsed="false">
      <c r="A87" s="2" t="s">
        <v>107</v>
      </c>
      <c r="B87" s="2" t="s">
        <v>97</v>
      </c>
      <c r="C87" s="2" t="n">
        <v>1</v>
      </c>
    </row>
    <row r="88" customFormat="false" ht="15" hidden="false" customHeight="false" outlineLevel="0" collapsed="false">
      <c r="A88" s="2" t="s">
        <v>107</v>
      </c>
      <c r="B88" s="2" t="s">
        <v>113</v>
      </c>
      <c r="C88" s="2" t="n">
        <v>1</v>
      </c>
    </row>
    <row r="89" customFormat="false" ht="15" hidden="false" customHeight="false" outlineLevel="0" collapsed="false">
      <c r="A89" s="2" t="s">
        <v>107</v>
      </c>
      <c r="B89" s="2" t="s">
        <v>105</v>
      </c>
      <c r="C89" s="2" t="n">
        <v>1</v>
      </c>
    </row>
    <row r="90" customFormat="false" ht="15" hidden="false" customHeight="false" outlineLevel="0" collapsed="false">
      <c r="A90" s="2" t="s">
        <v>107</v>
      </c>
      <c r="B90" s="2" t="s">
        <v>83</v>
      </c>
      <c r="C90" s="2" t="n">
        <v>1</v>
      </c>
    </row>
    <row r="91" customFormat="false" ht="15" hidden="false" customHeight="false" outlineLevel="0" collapsed="false">
      <c r="A91" s="2" t="s">
        <v>107</v>
      </c>
      <c r="B91" s="2" t="s">
        <v>38</v>
      </c>
      <c r="C91" s="2" t="n">
        <v>1</v>
      </c>
    </row>
    <row r="92" customFormat="false" ht="15" hidden="false" customHeight="false" outlineLevel="0" collapsed="false">
      <c r="A92" s="2" t="s">
        <v>107</v>
      </c>
      <c r="B92" s="2" t="s">
        <v>40</v>
      </c>
      <c r="C92" s="2" t="n">
        <v>1</v>
      </c>
    </row>
    <row r="93" customFormat="false" ht="15" hidden="false" customHeight="false" outlineLevel="0" collapsed="false">
      <c r="A93" s="2" t="s">
        <v>107</v>
      </c>
      <c r="B93" s="2" t="s">
        <v>42</v>
      </c>
      <c r="C93" s="2" t="n">
        <v>1</v>
      </c>
    </row>
    <row r="94" customFormat="false" ht="15" hidden="false" customHeight="false" outlineLevel="0" collapsed="false">
      <c r="A94" s="2" t="s">
        <v>107</v>
      </c>
      <c r="B94" s="2" t="s">
        <v>85</v>
      </c>
      <c r="C94" s="2" t="n">
        <v>1</v>
      </c>
    </row>
    <row r="95" customFormat="false" ht="15" hidden="false" customHeight="false" outlineLevel="0" collapsed="false">
      <c r="A95" s="2" t="s">
        <v>107</v>
      </c>
      <c r="B95" s="2" t="s">
        <v>87</v>
      </c>
      <c r="C95" s="2" t="n">
        <v>1</v>
      </c>
    </row>
    <row r="96" customFormat="false" ht="15" hidden="false" customHeight="false" outlineLevel="0" collapsed="false">
      <c r="A96" s="2" t="s">
        <v>114</v>
      </c>
      <c r="B96" s="2" t="s">
        <v>109</v>
      </c>
      <c r="C96" s="2" t="n">
        <v>2</v>
      </c>
    </row>
    <row r="97" customFormat="false" ht="15" hidden="false" customHeight="false" outlineLevel="0" collapsed="false">
      <c r="A97" s="2" t="s">
        <v>114</v>
      </c>
      <c r="B97" s="2" t="s">
        <v>97</v>
      </c>
      <c r="C97" s="2" t="n">
        <v>1</v>
      </c>
    </row>
    <row r="98" customFormat="false" ht="15" hidden="false" customHeight="false" outlineLevel="0" collapsed="false">
      <c r="A98" s="2" t="s">
        <v>114</v>
      </c>
      <c r="B98" s="2" t="s">
        <v>113</v>
      </c>
      <c r="C98" s="2" t="n">
        <v>1</v>
      </c>
    </row>
    <row r="99" customFormat="false" ht="15" hidden="false" customHeight="false" outlineLevel="0" collapsed="false">
      <c r="A99" s="2" t="s">
        <v>114</v>
      </c>
      <c r="B99" s="2" t="s">
        <v>105</v>
      </c>
      <c r="C99" s="2" t="n">
        <v>1</v>
      </c>
    </row>
    <row r="100" customFormat="false" ht="15" hidden="false" customHeight="false" outlineLevel="0" collapsed="false">
      <c r="A100" s="2" t="s">
        <v>114</v>
      </c>
      <c r="B100" s="2" t="s">
        <v>117</v>
      </c>
      <c r="C100" s="2" t="n">
        <v>2</v>
      </c>
    </row>
    <row r="101" customFormat="false" ht="15" hidden="false" customHeight="false" outlineLevel="0" collapsed="false">
      <c r="A101" s="2" t="s">
        <v>114</v>
      </c>
      <c r="B101" s="2" t="s">
        <v>83</v>
      </c>
      <c r="C101" s="2" t="n">
        <v>1</v>
      </c>
    </row>
    <row r="102" customFormat="false" ht="15" hidden="false" customHeight="false" outlineLevel="0" collapsed="false">
      <c r="A102" s="2" t="s">
        <v>114</v>
      </c>
      <c r="B102" s="2" t="s">
        <v>38</v>
      </c>
      <c r="C102" s="2" t="n">
        <v>1</v>
      </c>
    </row>
    <row r="103" customFormat="false" ht="15" hidden="false" customHeight="false" outlineLevel="0" collapsed="false">
      <c r="A103" s="2" t="s">
        <v>114</v>
      </c>
      <c r="B103" s="2" t="s">
        <v>40</v>
      </c>
      <c r="C103" s="2" t="n">
        <v>1</v>
      </c>
    </row>
    <row r="104" customFormat="false" ht="15" hidden="false" customHeight="false" outlineLevel="0" collapsed="false">
      <c r="A104" s="2" t="s">
        <v>114</v>
      </c>
      <c r="B104" s="2" t="s">
        <v>42</v>
      </c>
      <c r="C104" s="2" t="n">
        <v>1</v>
      </c>
    </row>
    <row r="105" customFormat="false" ht="15" hidden="false" customHeight="false" outlineLevel="0" collapsed="false">
      <c r="A105" s="2" t="s">
        <v>114</v>
      </c>
      <c r="B105" s="2" t="s">
        <v>85</v>
      </c>
      <c r="C105" s="2" t="n">
        <v>1</v>
      </c>
    </row>
    <row r="106" customFormat="false" ht="15" hidden="false" customHeight="false" outlineLevel="0" collapsed="false">
      <c r="A106" s="2" t="s">
        <v>114</v>
      </c>
      <c r="B106" s="2" t="s">
        <v>87</v>
      </c>
      <c r="C106" s="2" t="n">
        <v>1</v>
      </c>
    </row>
    <row r="107" customFormat="false" ht="15" hidden="false" customHeight="false" outlineLevel="0" collapsed="false">
      <c r="A107" s="2" t="s">
        <v>119</v>
      </c>
      <c r="B107" s="2" t="s">
        <v>121</v>
      </c>
      <c r="C107" s="2" t="n">
        <v>1</v>
      </c>
    </row>
    <row r="108" customFormat="false" ht="15" hidden="false" customHeight="false" outlineLevel="0" collapsed="false">
      <c r="A108" s="2" t="s">
        <v>119</v>
      </c>
      <c r="B108" s="2" t="s">
        <v>123</v>
      </c>
      <c r="C108" s="2" t="n">
        <v>1</v>
      </c>
    </row>
    <row r="109" customFormat="false" ht="15" hidden="false" customHeight="false" outlineLevel="0" collapsed="false">
      <c r="A109" s="2" t="s">
        <v>119</v>
      </c>
      <c r="B109" s="2" t="s">
        <v>109</v>
      </c>
      <c r="C109" s="2" t="n">
        <v>1</v>
      </c>
    </row>
    <row r="110" customFormat="false" ht="15" hidden="false" customHeight="false" outlineLevel="0" collapsed="false">
      <c r="A110" s="2" t="s">
        <v>119</v>
      </c>
      <c r="B110" s="2" t="s">
        <v>33</v>
      </c>
      <c r="C110" s="2" t="n">
        <v>1</v>
      </c>
    </row>
    <row r="111" customFormat="false" ht="15" hidden="false" customHeight="false" outlineLevel="0" collapsed="false">
      <c r="A111" s="2" t="s">
        <v>119</v>
      </c>
      <c r="B111" s="2" t="s">
        <v>36</v>
      </c>
      <c r="C111" s="2" t="n">
        <v>1</v>
      </c>
    </row>
    <row r="112" customFormat="false" ht="15" hidden="false" customHeight="false" outlineLevel="0" collapsed="false">
      <c r="A112" s="2" t="s">
        <v>119</v>
      </c>
      <c r="B112" s="2" t="s">
        <v>38</v>
      </c>
      <c r="C112" s="2" t="n">
        <v>1</v>
      </c>
    </row>
    <row r="113" customFormat="false" ht="15" hidden="false" customHeight="false" outlineLevel="0" collapsed="false">
      <c r="A113" s="2" t="s">
        <v>119</v>
      </c>
      <c r="B113" s="2" t="s">
        <v>40</v>
      </c>
      <c r="C113" s="2" t="n">
        <v>1</v>
      </c>
    </row>
    <row r="114" customFormat="false" ht="15" hidden="false" customHeight="false" outlineLevel="0" collapsed="false">
      <c r="A114" s="2" t="s">
        <v>119</v>
      </c>
      <c r="B114" s="2" t="s">
        <v>42</v>
      </c>
      <c r="C114" s="2" t="n">
        <v>1</v>
      </c>
    </row>
    <row r="115" customFormat="false" ht="15" hidden="false" customHeight="false" outlineLevel="0" collapsed="false">
      <c r="A115" s="2" t="s">
        <v>119</v>
      </c>
      <c r="B115" s="2" t="s">
        <v>44</v>
      </c>
      <c r="C115" s="2" t="n">
        <v>1</v>
      </c>
    </row>
    <row r="116" customFormat="false" ht="15" hidden="false" customHeight="false" outlineLevel="0" collapsed="false">
      <c r="A116" s="2" t="s">
        <v>119</v>
      </c>
      <c r="B116" s="2" t="s">
        <v>46</v>
      </c>
      <c r="C116" s="2" t="n">
        <v>1</v>
      </c>
    </row>
    <row r="117" customFormat="false" ht="15" hidden="false" customHeight="false" outlineLevel="0" collapsed="false">
      <c r="A117" s="2" t="s">
        <v>124</v>
      </c>
      <c r="B117" s="2" t="s">
        <v>123</v>
      </c>
      <c r="C117" s="2" t="n">
        <v>1</v>
      </c>
    </row>
    <row r="118" customFormat="false" ht="15" hidden="false" customHeight="false" outlineLevel="0" collapsed="false">
      <c r="A118" s="2" t="s">
        <v>124</v>
      </c>
      <c r="B118" s="2" t="s">
        <v>109</v>
      </c>
      <c r="C118" s="2" t="n">
        <v>1</v>
      </c>
    </row>
    <row r="119" customFormat="false" ht="15" hidden="false" customHeight="false" outlineLevel="0" collapsed="false">
      <c r="A119" s="2" t="s">
        <v>124</v>
      </c>
      <c r="B119" s="2" t="s">
        <v>33</v>
      </c>
      <c r="C119" s="2" t="n">
        <v>1</v>
      </c>
    </row>
    <row r="120" customFormat="false" ht="15" hidden="false" customHeight="false" outlineLevel="0" collapsed="false">
      <c r="A120" s="2" t="s">
        <v>124</v>
      </c>
      <c r="B120" s="2" t="s">
        <v>127</v>
      </c>
      <c r="C120" s="2" t="n">
        <v>1</v>
      </c>
    </row>
    <row r="121" customFormat="false" ht="15" hidden="false" customHeight="false" outlineLevel="0" collapsed="false">
      <c r="A121" s="2" t="s">
        <v>124</v>
      </c>
      <c r="B121" s="2" t="s">
        <v>36</v>
      </c>
      <c r="C121" s="2" t="n">
        <v>1</v>
      </c>
    </row>
    <row r="122" customFormat="false" ht="15" hidden="false" customHeight="false" outlineLevel="0" collapsed="false">
      <c r="A122" s="2" t="s">
        <v>124</v>
      </c>
      <c r="B122" s="2" t="s">
        <v>38</v>
      </c>
      <c r="C122" s="2" t="n">
        <v>1</v>
      </c>
    </row>
    <row r="123" customFormat="false" ht="15" hidden="false" customHeight="false" outlineLevel="0" collapsed="false">
      <c r="A123" s="2" t="s">
        <v>124</v>
      </c>
      <c r="B123" s="2" t="s">
        <v>40</v>
      </c>
      <c r="C123" s="2" t="n">
        <v>1</v>
      </c>
    </row>
    <row r="124" customFormat="false" ht="15" hidden="false" customHeight="false" outlineLevel="0" collapsed="false">
      <c r="A124" s="2" t="s">
        <v>124</v>
      </c>
      <c r="B124" s="2" t="s">
        <v>42</v>
      </c>
      <c r="C124" s="2" t="n">
        <v>1</v>
      </c>
    </row>
    <row r="125" customFormat="false" ht="15" hidden="false" customHeight="false" outlineLevel="0" collapsed="false">
      <c r="A125" s="2" t="s">
        <v>124</v>
      </c>
      <c r="B125" s="2" t="s">
        <v>44</v>
      </c>
      <c r="C125" s="2" t="n">
        <v>1</v>
      </c>
    </row>
    <row r="126" customFormat="false" ht="15" hidden="false" customHeight="false" outlineLevel="0" collapsed="false">
      <c r="A126" s="2" t="s">
        <v>124</v>
      </c>
      <c r="B126" s="2" t="s">
        <v>46</v>
      </c>
      <c r="C126" s="2" t="n">
        <v>1</v>
      </c>
    </row>
    <row r="127" customFormat="false" ht="15" hidden="false" customHeight="false" outlineLevel="0" collapsed="false">
      <c r="A127" s="2" t="s">
        <v>129</v>
      </c>
      <c r="B127" s="2" t="s">
        <v>105</v>
      </c>
      <c r="C127" s="2" t="n">
        <v>1</v>
      </c>
    </row>
    <row r="128" customFormat="false" ht="15" hidden="false" customHeight="false" outlineLevel="0" collapsed="false">
      <c r="A128" s="2" t="s">
        <v>129</v>
      </c>
      <c r="B128" s="2" t="s">
        <v>97</v>
      </c>
      <c r="C128" s="2" t="n">
        <v>1</v>
      </c>
    </row>
    <row r="129" customFormat="false" ht="15" hidden="false" customHeight="false" outlineLevel="0" collapsed="false">
      <c r="A129" s="2" t="s">
        <v>129</v>
      </c>
      <c r="B129" s="2" t="s">
        <v>131</v>
      </c>
      <c r="C129" s="2" t="n">
        <v>1</v>
      </c>
    </row>
    <row r="130" customFormat="false" ht="15" hidden="false" customHeight="false" outlineLevel="0" collapsed="false">
      <c r="A130" s="2" t="s">
        <v>129</v>
      </c>
      <c r="B130" s="2" t="s">
        <v>91</v>
      </c>
      <c r="C130" s="2" t="n">
        <v>1</v>
      </c>
    </row>
    <row r="131" customFormat="false" ht="15" hidden="false" customHeight="false" outlineLevel="0" collapsed="false">
      <c r="A131" s="2" t="s">
        <v>129</v>
      </c>
      <c r="B131" s="2" t="s">
        <v>133</v>
      </c>
      <c r="C131" s="2" t="n">
        <v>2</v>
      </c>
    </row>
    <row r="132" customFormat="false" ht="15" hidden="false" customHeight="false" outlineLevel="0" collapsed="false">
      <c r="A132" s="2" t="s">
        <v>129</v>
      </c>
      <c r="B132" s="2" t="s">
        <v>83</v>
      </c>
      <c r="C132" s="2" t="n">
        <v>1</v>
      </c>
    </row>
    <row r="133" customFormat="false" ht="15" hidden="false" customHeight="false" outlineLevel="0" collapsed="false">
      <c r="A133" s="2" t="s">
        <v>129</v>
      </c>
      <c r="B133" s="2" t="s">
        <v>38</v>
      </c>
      <c r="C133" s="2" t="n">
        <v>1</v>
      </c>
    </row>
    <row r="134" customFormat="false" ht="15" hidden="false" customHeight="false" outlineLevel="0" collapsed="false">
      <c r="A134" s="2" t="s">
        <v>129</v>
      </c>
      <c r="B134" s="2" t="s">
        <v>40</v>
      </c>
      <c r="C134" s="2" t="n">
        <v>1</v>
      </c>
    </row>
    <row r="135" customFormat="false" ht="15" hidden="false" customHeight="false" outlineLevel="0" collapsed="false">
      <c r="A135" s="2" t="s">
        <v>129</v>
      </c>
      <c r="B135" s="2" t="s">
        <v>42</v>
      </c>
      <c r="C135" s="2" t="n">
        <v>1</v>
      </c>
    </row>
    <row r="136" customFormat="false" ht="15" hidden="false" customHeight="false" outlineLevel="0" collapsed="false">
      <c r="A136" s="2" t="s">
        <v>129</v>
      </c>
      <c r="B136" s="2" t="s">
        <v>85</v>
      </c>
      <c r="C136" s="2" t="n">
        <v>1</v>
      </c>
    </row>
    <row r="137" customFormat="false" ht="15" hidden="false" customHeight="false" outlineLevel="0" collapsed="false">
      <c r="A137" s="2" t="s">
        <v>129</v>
      </c>
      <c r="B137" s="2" t="s">
        <v>87</v>
      </c>
      <c r="C137" s="2" t="n">
        <v>1</v>
      </c>
    </row>
    <row r="138" customFormat="false" ht="15" hidden="false" customHeight="false" outlineLevel="0" collapsed="false">
      <c r="A138" s="2" t="s">
        <v>135</v>
      </c>
      <c r="B138" s="2" t="s">
        <v>23</v>
      </c>
      <c r="C138" s="2" t="n">
        <v>1</v>
      </c>
    </row>
    <row r="139" customFormat="false" ht="15" hidden="false" customHeight="false" outlineLevel="0" collapsed="false">
      <c r="A139" s="2" t="s">
        <v>135</v>
      </c>
      <c r="B139" s="2" t="s">
        <v>137</v>
      </c>
      <c r="C139" s="2" t="n">
        <v>2</v>
      </c>
    </row>
    <row r="140" customFormat="false" ht="15" hidden="false" customHeight="false" outlineLevel="0" collapsed="false">
      <c r="A140" s="2" t="s">
        <v>135</v>
      </c>
      <c r="B140" s="2" t="s">
        <v>139</v>
      </c>
      <c r="C140" s="2" t="n">
        <v>1</v>
      </c>
    </row>
    <row r="141" customFormat="false" ht="15" hidden="false" customHeight="false" outlineLevel="0" collapsed="false">
      <c r="A141" s="2" t="s">
        <v>135</v>
      </c>
      <c r="B141" s="2" t="s">
        <v>141</v>
      </c>
      <c r="C141" s="2" t="n">
        <v>1</v>
      </c>
    </row>
    <row r="142" customFormat="false" ht="15" hidden="false" customHeight="false" outlineLevel="0" collapsed="false">
      <c r="A142" s="2" t="s">
        <v>135</v>
      </c>
      <c r="B142" s="2" t="s">
        <v>91</v>
      </c>
      <c r="C142" s="2" t="n">
        <v>1</v>
      </c>
    </row>
    <row r="143" customFormat="false" ht="15" hidden="false" customHeight="false" outlineLevel="0" collapsed="false">
      <c r="A143" s="2" t="s">
        <v>135</v>
      </c>
      <c r="B143" s="2" t="s">
        <v>143</v>
      </c>
      <c r="C143" s="2" t="n">
        <v>1</v>
      </c>
    </row>
    <row r="144" customFormat="false" ht="15" hidden="false" customHeight="false" outlineLevel="0" collapsed="false">
      <c r="A144" s="2" t="s">
        <v>135</v>
      </c>
      <c r="B144" s="2" t="s">
        <v>33</v>
      </c>
      <c r="C144" s="2" t="n">
        <v>1</v>
      </c>
    </row>
    <row r="145" customFormat="false" ht="15" hidden="false" customHeight="false" outlineLevel="0" collapsed="false">
      <c r="A145" s="2" t="s">
        <v>135</v>
      </c>
      <c r="B145" s="2" t="s">
        <v>36</v>
      </c>
      <c r="C145" s="2" t="n">
        <v>1</v>
      </c>
    </row>
    <row r="146" customFormat="false" ht="15" hidden="false" customHeight="false" outlineLevel="0" collapsed="false">
      <c r="A146" s="2" t="s">
        <v>135</v>
      </c>
      <c r="B146" s="2" t="s">
        <v>38</v>
      </c>
      <c r="C146" s="2" t="n">
        <v>1</v>
      </c>
    </row>
    <row r="147" customFormat="false" ht="15" hidden="false" customHeight="false" outlineLevel="0" collapsed="false">
      <c r="A147" s="2" t="s">
        <v>135</v>
      </c>
      <c r="B147" s="2" t="s">
        <v>40</v>
      </c>
      <c r="C147" s="2" t="n">
        <v>1</v>
      </c>
    </row>
    <row r="148" customFormat="false" ht="15" hidden="false" customHeight="false" outlineLevel="0" collapsed="false">
      <c r="A148" s="2" t="s">
        <v>135</v>
      </c>
      <c r="B148" s="2" t="s">
        <v>42</v>
      </c>
      <c r="C148" s="2" t="n">
        <v>1</v>
      </c>
    </row>
    <row r="149" customFormat="false" ht="15" hidden="false" customHeight="false" outlineLevel="0" collapsed="false">
      <c r="A149" s="2" t="s">
        <v>135</v>
      </c>
      <c r="B149" s="2" t="s">
        <v>44</v>
      </c>
      <c r="C149" s="2" t="n">
        <v>1</v>
      </c>
    </row>
    <row r="150" customFormat="false" ht="15" hidden="false" customHeight="false" outlineLevel="0" collapsed="false">
      <c r="A150" s="2" t="s">
        <v>135</v>
      </c>
      <c r="B150" s="2" t="s">
        <v>46</v>
      </c>
      <c r="C150" s="2" t="n">
        <v>1</v>
      </c>
    </row>
    <row r="151" customFormat="false" ht="15" hidden="false" customHeight="false" outlineLevel="0" collapsed="false">
      <c r="A151" s="2" t="s">
        <v>145</v>
      </c>
      <c r="B151" s="2" t="s">
        <v>137</v>
      </c>
      <c r="C151" s="2" t="n">
        <v>2</v>
      </c>
    </row>
    <row r="152" customFormat="false" ht="15" hidden="false" customHeight="false" outlineLevel="0" collapsed="false">
      <c r="A152" s="2" t="s">
        <v>145</v>
      </c>
      <c r="B152" s="2" t="s">
        <v>139</v>
      </c>
      <c r="C152" s="2" t="n">
        <v>1</v>
      </c>
    </row>
    <row r="153" customFormat="false" ht="15" hidden="false" customHeight="false" outlineLevel="0" collapsed="false">
      <c r="A153" s="2" t="s">
        <v>145</v>
      </c>
      <c r="B153" s="2" t="s">
        <v>141</v>
      </c>
      <c r="C153" s="2" t="n">
        <v>1</v>
      </c>
    </row>
    <row r="154" customFormat="false" ht="15" hidden="false" customHeight="false" outlineLevel="0" collapsed="false">
      <c r="A154" s="2" t="s">
        <v>145</v>
      </c>
      <c r="B154" s="2" t="s">
        <v>91</v>
      </c>
      <c r="C154" s="2" t="n">
        <v>1</v>
      </c>
    </row>
    <row r="155" customFormat="false" ht="15" hidden="false" customHeight="false" outlineLevel="0" collapsed="false">
      <c r="A155" s="2" t="s">
        <v>145</v>
      </c>
      <c r="B155" s="2" t="s">
        <v>143</v>
      </c>
      <c r="C155" s="2" t="n">
        <v>1</v>
      </c>
    </row>
    <row r="156" customFormat="false" ht="15" hidden="false" customHeight="false" outlineLevel="0" collapsed="false">
      <c r="A156" s="2" t="s">
        <v>145</v>
      </c>
      <c r="B156" s="2" t="s">
        <v>33</v>
      </c>
      <c r="C156" s="2" t="n">
        <v>1</v>
      </c>
    </row>
    <row r="157" customFormat="false" ht="15" hidden="false" customHeight="false" outlineLevel="0" collapsed="false">
      <c r="A157" s="2" t="s">
        <v>145</v>
      </c>
      <c r="B157" s="2" t="s">
        <v>66</v>
      </c>
      <c r="C157" s="2" t="n">
        <v>1</v>
      </c>
    </row>
    <row r="158" customFormat="false" ht="15" hidden="false" customHeight="false" outlineLevel="0" collapsed="false">
      <c r="A158" s="2" t="s">
        <v>145</v>
      </c>
      <c r="B158" s="2" t="s">
        <v>147</v>
      </c>
      <c r="C158" s="2" t="n">
        <v>1</v>
      </c>
    </row>
    <row r="159" customFormat="false" ht="15" hidden="false" customHeight="false" outlineLevel="0" collapsed="false">
      <c r="A159" s="2" t="s">
        <v>145</v>
      </c>
      <c r="B159" s="2" t="s">
        <v>36</v>
      </c>
      <c r="C159" s="2" t="n">
        <v>1</v>
      </c>
    </row>
    <row r="160" customFormat="false" ht="15" hidden="false" customHeight="false" outlineLevel="0" collapsed="false">
      <c r="A160" s="2" t="s">
        <v>145</v>
      </c>
      <c r="B160" s="2" t="s">
        <v>38</v>
      </c>
      <c r="C160" s="2" t="n">
        <v>1</v>
      </c>
    </row>
    <row r="161" customFormat="false" ht="15" hidden="false" customHeight="false" outlineLevel="0" collapsed="false">
      <c r="A161" s="2" t="s">
        <v>145</v>
      </c>
      <c r="B161" s="2" t="s">
        <v>40</v>
      </c>
      <c r="C161" s="2" t="n">
        <v>1</v>
      </c>
    </row>
    <row r="162" customFormat="false" ht="15" hidden="false" customHeight="false" outlineLevel="0" collapsed="false">
      <c r="A162" s="2" t="s">
        <v>145</v>
      </c>
      <c r="B162" s="2" t="s">
        <v>42</v>
      </c>
      <c r="C162" s="2" t="n">
        <v>1</v>
      </c>
    </row>
    <row r="163" customFormat="false" ht="15" hidden="false" customHeight="false" outlineLevel="0" collapsed="false">
      <c r="A163" s="2" t="s">
        <v>145</v>
      </c>
      <c r="B163" s="2" t="s">
        <v>44</v>
      </c>
      <c r="C163" s="2" t="n">
        <v>1</v>
      </c>
    </row>
    <row r="164" customFormat="false" ht="15" hidden="false" customHeight="false" outlineLevel="0" collapsed="false">
      <c r="A164" s="2" t="s">
        <v>145</v>
      </c>
      <c r="B164" s="2" t="s">
        <v>46</v>
      </c>
      <c r="C164" s="2" t="n">
        <v>1</v>
      </c>
    </row>
    <row r="165" customFormat="false" ht="15" hidden="false" customHeight="false" outlineLevel="0" collapsed="false">
      <c r="A165" s="2" t="s">
        <v>149</v>
      </c>
      <c r="B165" s="2" t="s">
        <v>121</v>
      </c>
      <c r="C165" s="2" t="n">
        <v>1</v>
      </c>
    </row>
    <row r="166" customFormat="false" ht="15" hidden="false" customHeight="false" outlineLevel="0" collapsed="false">
      <c r="A166" s="2" t="s">
        <v>149</v>
      </c>
      <c r="B166" s="2" t="s">
        <v>151</v>
      </c>
      <c r="C166" s="2" t="n">
        <v>1</v>
      </c>
    </row>
    <row r="167" customFormat="false" ht="15" hidden="false" customHeight="false" outlineLevel="0" collapsed="false">
      <c r="A167" s="2" t="s">
        <v>149</v>
      </c>
      <c r="B167" s="2" t="s">
        <v>81</v>
      </c>
      <c r="C167" s="2" t="n">
        <v>2</v>
      </c>
    </row>
    <row r="168" customFormat="false" ht="15" hidden="false" customHeight="false" outlineLevel="0" collapsed="false">
      <c r="A168" s="2" t="s">
        <v>149</v>
      </c>
      <c r="B168" s="2" t="s">
        <v>139</v>
      </c>
      <c r="C168" s="2" t="n">
        <v>1</v>
      </c>
    </row>
    <row r="169" customFormat="false" ht="15" hidden="false" customHeight="false" outlineLevel="0" collapsed="false">
      <c r="A169" s="2" t="s">
        <v>149</v>
      </c>
      <c r="B169" s="2" t="s">
        <v>33</v>
      </c>
      <c r="C169" s="2" t="n">
        <v>1</v>
      </c>
    </row>
    <row r="170" customFormat="false" ht="15" hidden="false" customHeight="false" outlineLevel="0" collapsed="false">
      <c r="A170" s="2" t="s">
        <v>149</v>
      </c>
      <c r="B170" s="2" t="s">
        <v>36</v>
      </c>
      <c r="C170" s="2" t="n">
        <v>1</v>
      </c>
    </row>
    <row r="171" customFormat="false" ht="15" hidden="false" customHeight="false" outlineLevel="0" collapsed="false">
      <c r="A171" s="2" t="s">
        <v>149</v>
      </c>
      <c r="B171" s="2" t="s">
        <v>38</v>
      </c>
      <c r="C171" s="2" t="n">
        <v>1</v>
      </c>
    </row>
    <row r="172" customFormat="false" ht="15" hidden="false" customHeight="false" outlineLevel="0" collapsed="false">
      <c r="A172" s="2" t="s">
        <v>149</v>
      </c>
      <c r="B172" s="2" t="s">
        <v>40</v>
      </c>
      <c r="C172" s="2" t="n">
        <v>1</v>
      </c>
    </row>
    <row r="173" customFormat="false" ht="15" hidden="false" customHeight="false" outlineLevel="0" collapsed="false">
      <c r="A173" s="2" t="s">
        <v>149</v>
      </c>
      <c r="B173" s="2" t="s">
        <v>42</v>
      </c>
      <c r="C173" s="2" t="n">
        <v>1</v>
      </c>
    </row>
    <row r="174" customFormat="false" ht="15" hidden="false" customHeight="false" outlineLevel="0" collapsed="false">
      <c r="A174" s="2" t="s">
        <v>149</v>
      </c>
      <c r="B174" s="2" t="s">
        <v>44</v>
      </c>
      <c r="C174" s="2" t="n">
        <v>1</v>
      </c>
    </row>
    <row r="175" customFormat="false" ht="15" hidden="false" customHeight="false" outlineLevel="0" collapsed="false">
      <c r="A175" s="2" t="s">
        <v>149</v>
      </c>
      <c r="B175" s="2" t="s">
        <v>46</v>
      </c>
      <c r="C175" s="2" t="n">
        <v>1</v>
      </c>
    </row>
    <row r="176" customFormat="false" ht="15" hidden="false" customHeight="false" outlineLevel="0" collapsed="false">
      <c r="A176" s="2" t="s">
        <v>153</v>
      </c>
      <c r="B176" s="2" t="s">
        <v>105</v>
      </c>
      <c r="C176" s="2" t="n">
        <v>1</v>
      </c>
    </row>
    <row r="177" customFormat="false" ht="15" hidden="false" customHeight="false" outlineLevel="0" collapsed="false">
      <c r="A177" s="2" t="s">
        <v>153</v>
      </c>
      <c r="B177" s="2" t="s">
        <v>33</v>
      </c>
      <c r="C177" s="2" t="n">
        <v>1</v>
      </c>
    </row>
    <row r="178" customFormat="false" ht="15" hidden="false" customHeight="false" outlineLevel="0" collapsed="false">
      <c r="A178" s="2" t="s">
        <v>153</v>
      </c>
      <c r="B178" s="2" t="s">
        <v>97</v>
      </c>
      <c r="C178" s="2" t="n">
        <v>1</v>
      </c>
    </row>
    <row r="179" customFormat="false" ht="15" hidden="false" customHeight="false" outlineLevel="0" collapsed="false">
      <c r="A179" s="2" t="s">
        <v>153</v>
      </c>
      <c r="B179" s="2" t="s">
        <v>113</v>
      </c>
      <c r="C179" s="2" t="n">
        <v>1</v>
      </c>
    </row>
    <row r="180" customFormat="false" ht="15" hidden="false" customHeight="false" outlineLevel="0" collapsed="false">
      <c r="A180" s="2" t="s">
        <v>153</v>
      </c>
      <c r="B180" s="2" t="s">
        <v>83</v>
      </c>
      <c r="C180" s="2" t="n">
        <v>1</v>
      </c>
    </row>
    <row r="181" customFormat="false" ht="15" hidden="false" customHeight="false" outlineLevel="0" collapsed="false">
      <c r="A181" s="2" t="s">
        <v>153</v>
      </c>
      <c r="B181" s="2" t="s">
        <v>38</v>
      </c>
      <c r="C181" s="2" t="n">
        <v>1</v>
      </c>
    </row>
    <row r="182" customFormat="false" ht="15" hidden="false" customHeight="false" outlineLevel="0" collapsed="false">
      <c r="A182" s="2" t="s">
        <v>153</v>
      </c>
      <c r="B182" s="2" t="s">
        <v>40</v>
      </c>
      <c r="C182" s="2" t="n">
        <v>1</v>
      </c>
    </row>
    <row r="183" customFormat="false" ht="15" hidden="false" customHeight="false" outlineLevel="0" collapsed="false">
      <c r="A183" s="2" t="s">
        <v>153</v>
      </c>
      <c r="B183" s="2" t="s">
        <v>42</v>
      </c>
      <c r="C183" s="2" t="n">
        <v>1</v>
      </c>
    </row>
    <row r="184" customFormat="false" ht="15" hidden="false" customHeight="false" outlineLevel="0" collapsed="false">
      <c r="A184" s="2" t="s">
        <v>153</v>
      </c>
      <c r="B184" s="2" t="s">
        <v>85</v>
      </c>
      <c r="C184" s="2" t="n">
        <v>1</v>
      </c>
    </row>
    <row r="185" customFormat="false" ht="15" hidden="false" customHeight="false" outlineLevel="0" collapsed="false">
      <c r="A185" s="2" t="s">
        <v>153</v>
      </c>
      <c r="B185" s="2" t="s">
        <v>87</v>
      </c>
      <c r="C185" s="2" t="n">
        <v>1</v>
      </c>
    </row>
    <row r="186" customFormat="false" ht="15" hidden="false" customHeight="false" outlineLevel="0" collapsed="false">
      <c r="A186" s="2" t="s">
        <v>155</v>
      </c>
      <c r="B186" s="2" t="s">
        <v>157</v>
      </c>
      <c r="C186" s="2" t="n">
        <v>1</v>
      </c>
    </row>
    <row r="187" customFormat="false" ht="15" hidden="false" customHeight="false" outlineLevel="0" collapsed="false">
      <c r="A187" s="2" t="s">
        <v>155</v>
      </c>
      <c r="B187" s="2" t="s">
        <v>159</v>
      </c>
      <c r="C187" s="2" t="n">
        <v>1</v>
      </c>
    </row>
    <row r="188" customFormat="false" ht="15" hidden="false" customHeight="false" outlineLevel="0" collapsed="false">
      <c r="A188" s="2" t="s">
        <v>155</v>
      </c>
      <c r="B188" s="2" t="s">
        <v>161</v>
      </c>
      <c r="C188" s="2" t="n">
        <v>1</v>
      </c>
    </row>
    <row r="189" customFormat="false" ht="15" hidden="false" customHeight="false" outlineLevel="0" collapsed="false">
      <c r="A189" s="2" t="s">
        <v>155</v>
      </c>
      <c r="B189" s="2" t="s">
        <v>163</v>
      </c>
      <c r="C189" s="2" t="n">
        <v>1</v>
      </c>
    </row>
    <row r="190" customFormat="false" ht="15" hidden="false" customHeight="false" outlineLevel="0" collapsed="false">
      <c r="A190" s="2" t="s">
        <v>155</v>
      </c>
      <c r="B190" s="2" t="s">
        <v>36</v>
      </c>
      <c r="C190" s="2" t="n">
        <v>1</v>
      </c>
    </row>
    <row r="191" customFormat="false" ht="15" hidden="false" customHeight="false" outlineLevel="0" collapsed="false">
      <c r="A191" s="2" t="s">
        <v>155</v>
      </c>
      <c r="B191" s="2" t="s">
        <v>38</v>
      </c>
      <c r="C191" s="2" t="n">
        <v>1</v>
      </c>
    </row>
    <row r="192" customFormat="false" ht="15" hidden="false" customHeight="false" outlineLevel="0" collapsed="false">
      <c r="A192" s="2" t="s">
        <v>155</v>
      </c>
      <c r="B192" s="2" t="s">
        <v>40</v>
      </c>
      <c r="C192" s="2" t="n">
        <v>1</v>
      </c>
    </row>
    <row r="193" customFormat="false" ht="15" hidden="false" customHeight="false" outlineLevel="0" collapsed="false">
      <c r="A193" s="2" t="s">
        <v>155</v>
      </c>
      <c r="B193" s="2" t="s">
        <v>42</v>
      </c>
      <c r="C193" s="2" t="n">
        <v>1</v>
      </c>
    </row>
    <row r="194" customFormat="false" ht="15" hidden="false" customHeight="false" outlineLevel="0" collapsed="false">
      <c r="A194" s="2" t="s">
        <v>155</v>
      </c>
      <c r="B194" s="2" t="s">
        <v>44</v>
      </c>
      <c r="C194" s="2" t="n">
        <v>1</v>
      </c>
    </row>
    <row r="195" customFormat="false" ht="15" hidden="false" customHeight="false" outlineLevel="0" collapsed="false">
      <c r="A195" s="2" t="s">
        <v>155</v>
      </c>
      <c r="B195" s="2" t="s">
        <v>46</v>
      </c>
      <c r="C195" s="2" t="n">
        <v>1</v>
      </c>
    </row>
    <row r="196" customFormat="false" ht="15" hidden="false" customHeight="false" outlineLevel="0" collapsed="false">
      <c r="A196" s="2" t="s">
        <v>165</v>
      </c>
      <c r="B196" s="2" t="s">
        <v>62</v>
      </c>
      <c r="C196" s="2" t="n">
        <v>1</v>
      </c>
    </row>
    <row r="197" customFormat="false" ht="15" hidden="false" customHeight="false" outlineLevel="0" collapsed="false">
      <c r="A197" s="2" t="s">
        <v>165</v>
      </c>
      <c r="B197" s="2" t="s">
        <v>56</v>
      </c>
      <c r="C197" s="2" t="n">
        <v>1</v>
      </c>
    </row>
    <row r="198" customFormat="false" ht="15" hidden="false" customHeight="false" outlineLevel="0" collapsed="false">
      <c r="A198" s="2" t="s">
        <v>165</v>
      </c>
      <c r="B198" s="2" t="s">
        <v>159</v>
      </c>
      <c r="C198" s="2" t="n">
        <v>1</v>
      </c>
    </row>
    <row r="199" customFormat="false" ht="15" hidden="false" customHeight="false" outlineLevel="0" collapsed="false">
      <c r="A199" s="2" t="s">
        <v>165</v>
      </c>
      <c r="B199" s="2" t="s">
        <v>33</v>
      </c>
      <c r="C199" s="2" t="n">
        <v>1</v>
      </c>
    </row>
    <row r="200" customFormat="false" ht="15" hidden="false" customHeight="false" outlineLevel="0" collapsed="false">
      <c r="A200" s="2" t="s">
        <v>165</v>
      </c>
      <c r="B200" s="2" t="s">
        <v>36</v>
      </c>
      <c r="C200" s="2" t="n">
        <v>1</v>
      </c>
    </row>
    <row r="201" customFormat="false" ht="15" hidden="false" customHeight="false" outlineLevel="0" collapsed="false">
      <c r="A201" s="2" t="s">
        <v>165</v>
      </c>
      <c r="B201" s="2" t="s">
        <v>38</v>
      </c>
      <c r="C201" s="2" t="n">
        <v>1</v>
      </c>
    </row>
    <row r="202" customFormat="false" ht="15" hidden="false" customHeight="false" outlineLevel="0" collapsed="false">
      <c r="A202" s="2" t="s">
        <v>165</v>
      </c>
      <c r="B202" s="2" t="s">
        <v>40</v>
      </c>
      <c r="C202" s="2" t="n">
        <v>1</v>
      </c>
    </row>
    <row r="203" customFormat="false" ht="15" hidden="false" customHeight="false" outlineLevel="0" collapsed="false">
      <c r="A203" s="2" t="s">
        <v>165</v>
      </c>
      <c r="B203" s="2" t="s">
        <v>42</v>
      </c>
      <c r="C203" s="2" t="n">
        <v>1</v>
      </c>
    </row>
    <row r="204" customFormat="false" ht="15" hidden="false" customHeight="false" outlineLevel="0" collapsed="false">
      <c r="A204" s="2" t="s">
        <v>165</v>
      </c>
      <c r="B204" s="2" t="s">
        <v>44</v>
      </c>
      <c r="C204" s="2" t="n">
        <v>1</v>
      </c>
    </row>
    <row r="205" customFormat="false" ht="15" hidden="false" customHeight="false" outlineLevel="0" collapsed="false">
      <c r="A205" s="2" t="s">
        <v>165</v>
      </c>
      <c r="B205" s="2" t="s">
        <v>46</v>
      </c>
      <c r="C205" s="2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3" t="s">
        <v>11</v>
      </c>
      <c r="B1" s="3" t="s">
        <v>10</v>
      </c>
      <c r="C1" s="3" t="s">
        <v>12</v>
      </c>
      <c r="D1" s="3" t="s">
        <v>166</v>
      </c>
      <c r="E1" s="3" t="s">
        <v>167</v>
      </c>
      <c r="F1" s="3" t="s">
        <v>168</v>
      </c>
      <c r="G1" s="3" t="s">
        <v>169</v>
      </c>
      <c r="H1" s="3" t="s">
        <v>170</v>
      </c>
      <c r="I1" s="3" t="s">
        <v>171</v>
      </c>
    </row>
    <row r="2" customFormat="false" ht="15" hidden="false" customHeight="false" outlineLevel="0" collapsed="false">
      <c r="A2" s="2" t="s">
        <v>20</v>
      </c>
      <c r="B2" s="2" t="s">
        <v>19</v>
      </c>
      <c r="C2" s="2" t="s">
        <v>21</v>
      </c>
      <c r="D2" s="6" t="n">
        <f aca="false">SUMIFS('Night Shift Master Bundles'!$H$2:$H$205,'Night Shift Master Bundles'!$B$2:$B$205,A2)</f>
        <v>17.08</v>
      </c>
      <c r="E2" s="2" t="n">
        <f aca="false">COUNTIFS('Night Shift Master Bundles'!$B$2:$B$205,A2,'Night Shift Master Bundles'!$G$2:$G$205,"")</f>
        <v>5</v>
      </c>
      <c r="F2" s="7" t="n">
        <v>0.6</v>
      </c>
      <c r="G2" s="6" t="str">
        <f aca="false">IF(E2&gt;0,"Fill costs first",IF(F2&gt;=1,"",CEILING(D2/(1-F2),1)-0.05))</f>
        <v>Fill costs first</v>
      </c>
      <c r="H2" s="8"/>
      <c r="I2" s="9" t="str">
        <f aca="false">IF(OR(H2="",H2=0),"",(H2-D2)/H2)</f>
        <v/>
      </c>
    </row>
    <row r="3" customFormat="false" ht="15" hidden="false" customHeight="false" outlineLevel="0" collapsed="false">
      <c r="A3" s="2" t="s">
        <v>47</v>
      </c>
      <c r="B3" s="2" t="s">
        <v>19</v>
      </c>
      <c r="C3" s="2" t="s">
        <v>48</v>
      </c>
      <c r="D3" s="6" t="n">
        <f aca="false">SUMIFS('Night Shift Master Bundles'!$H$2:$H$205,'Night Shift Master Bundles'!$B$2:$B$205,A3)</f>
        <v>24.86</v>
      </c>
      <c r="E3" s="2" t="n">
        <f aca="false">COUNTIFS('Night Shift Master Bundles'!$B$2:$B$205,A3,'Night Shift Master Bundles'!$G$2:$G$205,"")</f>
        <v>5</v>
      </c>
      <c r="F3" s="7" t="n">
        <v>0.6</v>
      </c>
      <c r="G3" s="6" t="str">
        <f aca="false">IF(E3&gt;0,"Fill costs first",IF(F3&gt;=1,"",CEILING(D3/(1-F3),1)-0.05))</f>
        <v>Fill costs first</v>
      </c>
      <c r="H3" s="8"/>
      <c r="I3" s="9" t="str">
        <f aca="false">IF(OR(H3="",H3=0),"",(H3-D3)/H3)</f>
        <v/>
      </c>
    </row>
    <row r="4" customFormat="false" ht="15" hidden="false" customHeight="false" outlineLevel="0" collapsed="false">
      <c r="A4" s="2" t="s">
        <v>52</v>
      </c>
      <c r="B4" s="2" t="s">
        <v>51</v>
      </c>
      <c r="C4" s="2" t="s">
        <v>21</v>
      </c>
      <c r="D4" s="6" t="n">
        <f aca="false">SUMIFS('Night Shift Master Bundles'!$H$2:$H$205,'Night Shift Master Bundles'!$B$2:$B$205,A4)</f>
        <v>20.42</v>
      </c>
      <c r="E4" s="2" t="n">
        <f aca="false">COUNTIFS('Night Shift Master Bundles'!$B$2:$B$205,A4,'Night Shift Master Bundles'!$G$2:$G$205,"")</f>
        <v>4</v>
      </c>
      <c r="F4" s="7" t="n">
        <v>0.6</v>
      </c>
      <c r="G4" s="6" t="str">
        <f aca="false">IF(E4&gt;0,"Fill costs first",IF(F4&gt;=1,"",CEILING(D4/(1-F4),1)-0.05))</f>
        <v>Fill costs first</v>
      </c>
      <c r="H4" s="8"/>
      <c r="I4" s="9" t="str">
        <f aca="false">IF(OR(H4="",H4=0),"",(H4-D4)/H4)</f>
        <v/>
      </c>
    </row>
    <row r="5" customFormat="false" ht="15" hidden="false" customHeight="false" outlineLevel="0" collapsed="false">
      <c r="A5" s="2" t="s">
        <v>63</v>
      </c>
      <c r="B5" s="2" t="s">
        <v>51</v>
      </c>
      <c r="C5" s="2" t="s">
        <v>64</v>
      </c>
      <c r="D5" s="6" t="n">
        <f aca="false">SUMIFS('Night Shift Master Bundles'!$H$2:$H$205,'Night Shift Master Bundles'!$B$2:$B$205,A5)</f>
        <v>32.5</v>
      </c>
      <c r="E5" s="2" t="n">
        <f aca="false">COUNTIFS('Night Shift Master Bundles'!$B$2:$B$205,A5,'Night Shift Master Bundles'!$G$2:$G$205,"")</f>
        <v>4</v>
      </c>
      <c r="F5" s="7" t="n">
        <v>0.6</v>
      </c>
      <c r="G5" s="6" t="str">
        <f aca="false">IF(E5&gt;0,"Fill costs first",IF(F5&gt;=1,"",CEILING(D5/(1-F5),1)-0.05))</f>
        <v>Fill costs first</v>
      </c>
      <c r="H5" s="8"/>
      <c r="I5" s="9" t="str">
        <f aca="false">IF(OR(H5="",H5=0),"",(H5-D5)/H5)</f>
        <v/>
      </c>
    </row>
    <row r="6" customFormat="false" ht="15" hidden="false" customHeight="false" outlineLevel="0" collapsed="false">
      <c r="A6" s="2" t="s">
        <v>68</v>
      </c>
      <c r="B6" s="2" t="s">
        <v>67</v>
      </c>
      <c r="C6" s="2" t="s">
        <v>69</v>
      </c>
      <c r="D6" s="6" t="n">
        <f aca="false">SUMIFS('Night Shift Master Bundles'!$H$2:$H$205,'Night Shift Master Bundles'!$B$2:$B$205,A6)</f>
        <v>8.99</v>
      </c>
      <c r="E6" s="2" t="n">
        <f aca="false">COUNTIFS('Night Shift Master Bundles'!$B$2:$B$205,A6,'Night Shift Master Bundles'!$G$2:$G$205,"")</f>
        <v>7</v>
      </c>
      <c r="F6" s="7" t="n">
        <v>0.6</v>
      </c>
      <c r="G6" s="6" t="str">
        <f aca="false">IF(E6&gt;0,"Fill costs first",IF(F6&gt;=1,"",CEILING(D6/(1-F6),1)-0.05))</f>
        <v>Fill costs first</v>
      </c>
      <c r="H6" s="8"/>
      <c r="I6" s="9" t="str">
        <f aca="false">IF(OR(H6="",H6=0),"",(H6-D6)/H6)</f>
        <v/>
      </c>
    </row>
    <row r="7" customFormat="false" ht="15" hidden="false" customHeight="false" outlineLevel="0" collapsed="false">
      <c r="A7" s="2" t="s">
        <v>89</v>
      </c>
      <c r="B7" s="2" t="s">
        <v>88</v>
      </c>
      <c r="C7" s="2" t="s">
        <v>69</v>
      </c>
      <c r="D7" s="6" t="n">
        <f aca="false">SUMIFS('Night Shift Master Bundles'!$H$2:$H$205,'Night Shift Master Bundles'!$B$2:$B$205,A7)</f>
        <v>10.41</v>
      </c>
      <c r="E7" s="2" t="n">
        <f aca="false">COUNTIFS('Night Shift Master Bundles'!$B$2:$B$205,A7,'Night Shift Master Bundles'!$G$2:$G$205,"")</f>
        <v>6</v>
      </c>
      <c r="F7" s="7" t="n">
        <v>0.6</v>
      </c>
      <c r="G7" s="6" t="str">
        <f aca="false">IF(E7&gt;0,"Fill costs first",IF(F7&gt;=1,"",CEILING(D7/(1-F7),1)-0.05))</f>
        <v>Fill costs first</v>
      </c>
      <c r="H7" s="8"/>
      <c r="I7" s="9" t="str">
        <f aca="false">IF(OR(H7="",H7=0),"",(H7-D7)/H7)</f>
        <v/>
      </c>
    </row>
    <row r="8" customFormat="false" ht="15" hidden="false" customHeight="false" outlineLevel="0" collapsed="false">
      <c r="A8" s="2" t="s">
        <v>99</v>
      </c>
      <c r="B8" s="2" t="s">
        <v>98</v>
      </c>
      <c r="C8" s="2" t="s">
        <v>69</v>
      </c>
      <c r="D8" s="6" t="n">
        <f aca="false">SUMIFS('Night Shift Master Bundles'!$H$2:$H$205,'Night Shift Master Bundles'!$B$2:$B$205,A8)</f>
        <v>10.81</v>
      </c>
      <c r="E8" s="2" t="n">
        <f aca="false">COUNTIFS('Night Shift Master Bundles'!$B$2:$B$205,A8,'Night Shift Master Bundles'!$G$2:$G$205,"")</f>
        <v>6</v>
      </c>
      <c r="F8" s="7" t="n">
        <v>0.6</v>
      </c>
      <c r="G8" s="6" t="str">
        <f aca="false">IF(E8&gt;0,"Fill costs first",IF(F8&gt;=1,"",CEILING(D8/(1-F8),1)-0.05))</f>
        <v>Fill costs first</v>
      </c>
      <c r="H8" s="8"/>
      <c r="I8" s="9" t="str">
        <f aca="false">IF(OR(H8="",H8=0),"",(H8-D8)/H8)</f>
        <v/>
      </c>
    </row>
    <row r="9" customFormat="false" ht="15" hidden="false" customHeight="false" outlineLevel="0" collapsed="false">
      <c r="A9" s="2" t="s">
        <v>107</v>
      </c>
      <c r="B9" s="2" t="s">
        <v>106</v>
      </c>
      <c r="C9" s="2" t="s">
        <v>21</v>
      </c>
      <c r="D9" s="6" t="n">
        <f aca="false">SUMIFS('Night Shift Master Bundles'!$H$2:$H$205,'Night Shift Master Bundles'!$B$2:$B$205,A9)</f>
        <v>25.99</v>
      </c>
      <c r="E9" s="2" t="n">
        <f aca="false">COUNTIFS('Night Shift Master Bundles'!$B$2:$B$205,A9,'Night Shift Master Bundles'!$G$2:$G$205,"")</f>
        <v>4</v>
      </c>
      <c r="F9" s="7" t="n">
        <v>0.6</v>
      </c>
      <c r="G9" s="6" t="str">
        <f aca="false">IF(E9&gt;0,"Fill costs first",IF(F9&gt;=1,"",CEILING(D9/(1-F9),1)-0.05))</f>
        <v>Fill costs first</v>
      </c>
      <c r="H9" s="8"/>
      <c r="I9" s="9" t="str">
        <f aca="false">IF(OR(H9="",H9=0),"",(H9-D9)/H9)</f>
        <v/>
      </c>
    </row>
    <row r="10" customFormat="false" ht="15" hidden="false" customHeight="false" outlineLevel="0" collapsed="false">
      <c r="A10" s="2" t="s">
        <v>114</v>
      </c>
      <c r="B10" s="2" t="s">
        <v>106</v>
      </c>
      <c r="C10" s="2" t="s">
        <v>115</v>
      </c>
      <c r="D10" s="6" t="n">
        <f aca="false">SUMIFS('Night Shift Master Bundles'!$H$2:$H$205,'Night Shift Master Bundles'!$B$2:$B$205,A10)</f>
        <v>25.99</v>
      </c>
      <c r="E10" s="2" t="n">
        <f aca="false">COUNTIFS('Night Shift Master Bundles'!$B$2:$B$205,A10,'Night Shift Master Bundles'!$G$2:$G$205,"")</f>
        <v>4</v>
      </c>
      <c r="F10" s="7" t="n">
        <v>0.6</v>
      </c>
      <c r="G10" s="6" t="str">
        <f aca="false">IF(E10&gt;0,"Fill costs first",IF(F10&gt;=1,"",CEILING(D10/(1-F10),1)-0.05))</f>
        <v>Fill costs first</v>
      </c>
      <c r="H10" s="8"/>
      <c r="I10" s="9" t="str">
        <f aca="false">IF(OR(H10="",H10=0),"",(H10-D10)/H10)</f>
        <v/>
      </c>
    </row>
    <row r="11" customFormat="false" ht="15" hidden="false" customHeight="false" outlineLevel="0" collapsed="false">
      <c r="A11" s="2" t="s">
        <v>119</v>
      </c>
      <c r="B11" s="2" t="s">
        <v>118</v>
      </c>
      <c r="C11" s="2" t="s">
        <v>21</v>
      </c>
      <c r="D11" s="6" t="n">
        <f aca="false">SUMIFS('Night Shift Master Bundles'!$H$2:$H$205,'Night Shift Master Bundles'!$B$2:$B$205,A11)</f>
        <v>14.18</v>
      </c>
      <c r="E11" s="2" t="n">
        <f aca="false">COUNTIFS('Night Shift Master Bundles'!$B$2:$B$205,A11,'Night Shift Master Bundles'!$G$2:$G$205,"")</f>
        <v>3</v>
      </c>
      <c r="F11" s="7" t="n">
        <v>0.6</v>
      </c>
      <c r="G11" s="6" t="str">
        <f aca="false">IF(E11&gt;0,"Fill costs first",IF(F11&gt;=1,"",CEILING(D11/(1-F11),1)-0.05))</f>
        <v>Fill costs first</v>
      </c>
      <c r="H11" s="8"/>
      <c r="I11" s="9" t="str">
        <f aca="false">IF(OR(H11="",H11=0),"",(H11-D11)/H11)</f>
        <v/>
      </c>
    </row>
    <row r="12" customFormat="false" ht="15" hidden="false" customHeight="false" outlineLevel="0" collapsed="false">
      <c r="A12" s="2" t="s">
        <v>124</v>
      </c>
      <c r="B12" s="2" t="s">
        <v>118</v>
      </c>
      <c r="C12" s="2" t="s">
        <v>125</v>
      </c>
      <c r="D12" s="6" t="n">
        <f aca="false">SUMIFS('Night Shift Master Bundles'!$H$2:$H$205,'Night Shift Master Bundles'!$B$2:$B$205,A12)</f>
        <v>11.08</v>
      </c>
      <c r="E12" s="2" t="n">
        <f aca="false">COUNTIFS('Night Shift Master Bundles'!$B$2:$B$205,A12,'Night Shift Master Bundles'!$G$2:$G$205,"")</f>
        <v>4</v>
      </c>
      <c r="F12" s="7" t="n">
        <v>0.6</v>
      </c>
      <c r="G12" s="6" t="str">
        <f aca="false">IF(E12&gt;0,"Fill costs first",IF(F12&gt;=1,"",CEILING(D12/(1-F12),1)-0.05))</f>
        <v>Fill costs first</v>
      </c>
      <c r="H12" s="8"/>
      <c r="I12" s="9" t="str">
        <f aca="false">IF(OR(H12="",H12=0),"",(H12-D12)/H12)</f>
        <v/>
      </c>
    </row>
    <row r="13" customFormat="false" ht="15" hidden="false" customHeight="false" outlineLevel="0" collapsed="false">
      <c r="A13" s="2" t="s">
        <v>129</v>
      </c>
      <c r="B13" s="2" t="s">
        <v>128</v>
      </c>
      <c r="C13" s="2" t="s">
        <v>69</v>
      </c>
      <c r="D13" s="6" t="n">
        <f aca="false">SUMIFS('Night Shift Master Bundles'!$H$2:$H$205,'Night Shift Master Bundles'!$B$2:$B$205,A13)</f>
        <v>20.31</v>
      </c>
      <c r="E13" s="2" t="n">
        <f aca="false">COUNTIFS('Night Shift Master Bundles'!$B$2:$B$205,A13,'Night Shift Master Bundles'!$G$2:$G$205,"")</f>
        <v>3</v>
      </c>
      <c r="F13" s="7" t="n">
        <v>0.6</v>
      </c>
      <c r="G13" s="6" t="str">
        <f aca="false">IF(E13&gt;0,"Fill costs first",IF(F13&gt;=1,"",CEILING(D13/(1-F13),1)-0.05))</f>
        <v>Fill costs first</v>
      </c>
      <c r="H13" s="8"/>
      <c r="I13" s="9" t="str">
        <f aca="false">IF(OR(H13="",H13=0),"",(H13-D13)/H13)</f>
        <v/>
      </c>
    </row>
    <row r="14" customFormat="false" ht="15" hidden="false" customHeight="false" outlineLevel="0" collapsed="false">
      <c r="A14" s="2" t="s">
        <v>135</v>
      </c>
      <c r="B14" s="2" t="s">
        <v>134</v>
      </c>
      <c r="C14" s="2" t="s">
        <v>21</v>
      </c>
      <c r="D14" s="6" t="n">
        <f aca="false">SUMIFS('Night Shift Master Bundles'!$H$2:$H$205,'Night Shift Master Bundles'!$B$2:$B$205,A14)</f>
        <v>28.74</v>
      </c>
      <c r="E14" s="2" t="n">
        <f aca="false">COUNTIFS('Night Shift Master Bundles'!$B$2:$B$205,A14,'Night Shift Master Bundles'!$G$2:$G$205,"")</f>
        <v>3</v>
      </c>
      <c r="F14" s="7" t="n">
        <v>0.6</v>
      </c>
      <c r="G14" s="6" t="str">
        <f aca="false">IF(E14&gt;0,"Fill costs first",IF(F14&gt;=1,"",CEILING(D14/(1-F14),1)-0.05))</f>
        <v>Fill costs first</v>
      </c>
      <c r="H14" s="8"/>
      <c r="I14" s="9" t="str">
        <f aca="false">IF(OR(H14="",H14=0),"",(H14-D14)/H14)</f>
        <v/>
      </c>
    </row>
    <row r="15" customFormat="false" ht="15" hidden="false" customHeight="false" outlineLevel="0" collapsed="false">
      <c r="A15" s="2" t="s">
        <v>145</v>
      </c>
      <c r="B15" s="2" t="s">
        <v>134</v>
      </c>
      <c r="C15" s="2" t="s">
        <v>64</v>
      </c>
      <c r="D15" s="6" t="n">
        <f aca="false">SUMIFS('Night Shift Master Bundles'!$H$2:$H$205,'Night Shift Master Bundles'!$B$2:$B$205,A15)</f>
        <v>33.82</v>
      </c>
      <c r="E15" s="2" t="n">
        <f aca="false">COUNTIFS('Night Shift Master Bundles'!$B$2:$B$205,A15,'Night Shift Master Bundles'!$G$2:$G$205,"")</f>
        <v>3</v>
      </c>
      <c r="F15" s="7" t="n">
        <v>0.6</v>
      </c>
      <c r="G15" s="6" t="str">
        <f aca="false">IF(E15&gt;0,"Fill costs first",IF(F15&gt;=1,"",CEILING(D15/(1-F15),1)-0.05))</f>
        <v>Fill costs first</v>
      </c>
      <c r="H15" s="8"/>
      <c r="I15" s="9" t="str">
        <f aca="false">IF(OR(H15="",H15=0),"",(H15-D15)/H15)</f>
        <v/>
      </c>
    </row>
    <row r="16" customFormat="false" ht="15" hidden="false" customHeight="false" outlineLevel="0" collapsed="false">
      <c r="A16" s="2" t="s">
        <v>149</v>
      </c>
      <c r="B16" s="2" t="s">
        <v>148</v>
      </c>
      <c r="C16" s="2" t="s">
        <v>69</v>
      </c>
      <c r="D16" s="6" t="n">
        <f aca="false">SUMIFS('Night Shift Master Bundles'!$H$2:$H$205,'Night Shift Master Bundles'!$B$2:$B$205,A16)</f>
        <v>19.09</v>
      </c>
      <c r="E16" s="2" t="n">
        <f aca="false">COUNTIFS('Night Shift Master Bundles'!$B$2:$B$205,A16,'Night Shift Master Bundles'!$G$2:$G$205,"")</f>
        <v>3</v>
      </c>
      <c r="F16" s="7" t="n">
        <v>0.6</v>
      </c>
      <c r="G16" s="6" t="str">
        <f aca="false">IF(E16&gt;0,"Fill costs first",IF(F16&gt;=1,"",CEILING(D16/(1-F16),1)-0.05))</f>
        <v>Fill costs first</v>
      </c>
      <c r="H16" s="8"/>
      <c r="I16" s="9" t="str">
        <f aca="false">IF(OR(H16="",H16=0),"",(H16-D16)/H16)</f>
        <v/>
      </c>
    </row>
    <row r="17" customFormat="false" ht="15" hidden="false" customHeight="false" outlineLevel="0" collapsed="false">
      <c r="A17" s="2" t="s">
        <v>153</v>
      </c>
      <c r="B17" s="2" t="s">
        <v>152</v>
      </c>
      <c r="C17" s="2" t="s">
        <v>69</v>
      </c>
      <c r="D17" s="6" t="n">
        <f aca="false">SUMIFS('Night Shift Master Bundles'!$H$2:$H$205,'Night Shift Master Bundles'!$B$2:$B$205,A17)</f>
        <v>20.83</v>
      </c>
      <c r="E17" s="2" t="n">
        <f aca="false">COUNTIFS('Night Shift Master Bundles'!$B$2:$B$205,A17,'Night Shift Master Bundles'!$G$2:$G$205,"")</f>
        <v>3</v>
      </c>
      <c r="F17" s="7" t="n">
        <v>0.6</v>
      </c>
      <c r="G17" s="6" t="str">
        <f aca="false">IF(E17&gt;0,"Fill costs first",IF(F17&gt;=1,"",CEILING(D17/(1-F17),1)-0.05))</f>
        <v>Fill costs first</v>
      </c>
      <c r="H17" s="8"/>
      <c r="I17" s="9" t="str">
        <f aca="false">IF(OR(H17="",H17=0),"",(H17-D17)/H17)</f>
        <v/>
      </c>
    </row>
    <row r="18" customFormat="false" ht="15" hidden="false" customHeight="false" outlineLevel="0" collapsed="false">
      <c r="A18" s="2" t="s">
        <v>155</v>
      </c>
      <c r="B18" s="2" t="s">
        <v>154</v>
      </c>
      <c r="C18" s="2" t="s">
        <v>69</v>
      </c>
      <c r="D18" s="6" t="n">
        <f aca="false">SUMIFS('Night Shift Master Bundles'!$H$2:$H$205,'Night Shift Master Bundles'!$B$2:$B$205,A18)</f>
        <v>18.79</v>
      </c>
      <c r="E18" s="2" t="n">
        <f aca="false">COUNTIFS('Night Shift Master Bundles'!$B$2:$B$205,A18,'Night Shift Master Bundles'!$G$2:$G$205,"")</f>
        <v>5</v>
      </c>
      <c r="F18" s="7" t="n">
        <v>0.6</v>
      </c>
      <c r="G18" s="6" t="str">
        <f aca="false">IF(E18&gt;0,"Fill costs first",IF(F18&gt;=1,"",CEILING(D18/(1-F18),1)-0.05))</f>
        <v>Fill costs first</v>
      </c>
      <c r="H18" s="8"/>
      <c r="I18" s="9" t="str">
        <f aca="false">IF(OR(H18="",H18=0),"",(H18-D18)/H18)</f>
        <v/>
      </c>
    </row>
    <row r="19" customFormat="false" ht="15" hidden="false" customHeight="false" outlineLevel="0" collapsed="false">
      <c r="A19" s="2" t="s">
        <v>165</v>
      </c>
      <c r="B19" s="2" t="s">
        <v>164</v>
      </c>
      <c r="C19" s="2" t="s">
        <v>69</v>
      </c>
      <c r="D19" s="6" t="n">
        <f aca="false">SUMIFS('Night Shift Master Bundles'!$H$2:$H$205,'Night Shift Master Bundles'!$B$2:$B$205,A19)</f>
        <v>20.18</v>
      </c>
      <c r="E19" s="2" t="n">
        <f aca="false">COUNTIFS('Night Shift Master Bundles'!$B$2:$B$205,A19,'Night Shift Master Bundles'!$G$2:$G$205,"")</f>
        <v>3</v>
      </c>
      <c r="F19" s="7" t="n">
        <v>0.6</v>
      </c>
      <c r="G19" s="6" t="str">
        <f aca="false">IF(E19&gt;0,"Fill costs first",IF(F19&gt;=1,"",CEILING(D19/(1-F19),1)-0.05))</f>
        <v>Fill costs first</v>
      </c>
      <c r="H19" s="8"/>
      <c r="I19" s="9" t="str">
        <f aca="false">IF(OR(H19="",H19=0),"",(H19-D19)/H19)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14</v>
      </c>
      <c r="B1" s="3" t="s">
        <v>13</v>
      </c>
      <c r="C1" s="3" t="s">
        <v>172</v>
      </c>
      <c r="D1" s="3" t="s">
        <v>16</v>
      </c>
      <c r="E1" s="3" t="s">
        <v>173</v>
      </c>
    </row>
    <row r="2" customFormat="false" ht="15" hidden="false" customHeight="false" outlineLevel="0" collapsed="false">
      <c r="A2" s="0" t="s">
        <v>143</v>
      </c>
      <c r="B2" s="0" t="s">
        <v>142</v>
      </c>
      <c r="C2" s="0" t="s">
        <v>174</v>
      </c>
      <c r="D2" s="10"/>
      <c r="E2" s="11" t="s">
        <v>175</v>
      </c>
    </row>
    <row r="3" customFormat="false" ht="15" hidden="false" customHeight="false" outlineLevel="0" collapsed="false">
      <c r="A3" s="0" t="s">
        <v>151</v>
      </c>
      <c r="B3" s="0" t="s">
        <v>150</v>
      </c>
      <c r="C3" s="0" t="s">
        <v>149</v>
      </c>
      <c r="D3" s="10"/>
      <c r="E3" s="11" t="s">
        <v>175</v>
      </c>
    </row>
    <row r="4" customFormat="false" ht="15" hidden="false" customHeight="false" outlineLevel="0" collapsed="false">
      <c r="A4" s="0" t="s">
        <v>101</v>
      </c>
      <c r="B4" s="0" t="s">
        <v>100</v>
      </c>
      <c r="C4" s="0" t="s">
        <v>99</v>
      </c>
      <c r="D4" s="10"/>
    </row>
    <row r="5" customFormat="false" ht="15" hidden="false" customHeight="false" outlineLevel="0" collapsed="false">
      <c r="A5" s="0" t="s">
        <v>161</v>
      </c>
      <c r="B5" s="0" t="s">
        <v>160</v>
      </c>
      <c r="C5" s="0" t="s">
        <v>155</v>
      </c>
      <c r="D5" s="10"/>
    </row>
    <row r="6" customFormat="false" ht="15" hidden="false" customHeight="false" outlineLevel="0" collapsed="false">
      <c r="A6" s="0" t="s">
        <v>163</v>
      </c>
      <c r="B6" s="0" t="s">
        <v>162</v>
      </c>
      <c r="C6" s="0" t="s">
        <v>155</v>
      </c>
      <c r="D6" s="10"/>
    </row>
    <row r="7" customFormat="false" ht="15" hidden="false" customHeight="false" outlineLevel="0" collapsed="false">
      <c r="A7" s="0" t="s">
        <v>75</v>
      </c>
      <c r="B7" s="0" t="s">
        <v>74</v>
      </c>
      <c r="C7" s="0" t="s">
        <v>68</v>
      </c>
      <c r="D7" s="10"/>
    </row>
    <row r="8" customFormat="false" ht="15" hidden="false" customHeight="false" outlineLevel="0" collapsed="false">
      <c r="A8" s="0" t="s">
        <v>26</v>
      </c>
      <c r="B8" s="0" t="s">
        <v>25</v>
      </c>
      <c r="C8" s="0" t="s">
        <v>176</v>
      </c>
      <c r="D8" s="10"/>
    </row>
    <row r="9" customFormat="false" ht="15" hidden="false" customHeight="false" outlineLevel="0" collapsed="false">
      <c r="A9" s="0" t="s">
        <v>73</v>
      </c>
      <c r="B9" s="0" t="s">
        <v>72</v>
      </c>
      <c r="C9" s="0" t="s">
        <v>68</v>
      </c>
      <c r="D9" s="10"/>
    </row>
    <row r="10" customFormat="false" ht="15" hidden="false" customHeight="false" outlineLevel="0" collapsed="false">
      <c r="A10" s="0" t="s">
        <v>31</v>
      </c>
      <c r="B10" s="0" t="s">
        <v>30</v>
      </c>
      <c r="C10" s="0" t="s">
        <v>176</v>
      </c>
      <c r="D10" s="10"/>
    </row>
    <row r="11" customFormat="false" ht="15" hidden="false" customHeight="false" outlineLevel="0" collapsed="false">
      <c r="A11" s="0" t="s">
        <v>95</v>
      </c>
      <c r="B11" s="0" t="s">
        <v>94</v>
      </c>
      <c r="C11" s="0" t="s">
        <v>89</v>
      </c>
      <c r="D11" s="10"/>
    </row>
    <row r="12" customFormat="false" ht="15" hidden="false" customHeight="false" outlineLevel="0" collapsed="false">
      <c r="A12" s="0" t="s">
        <v>71</v>
      </c>
      <c r="B12" s="0" t="s">
        <v>70</v>
      </c>
      <c r="C12" s="0" t="s">
        <v>68</v>
      </c>
      <c r="D12" s="10"/>
    </row>
    <row r="13" customFormat="false" ht="15" hidden="false" customHeight="false" outlineLevel="0" collapsed="false">
      <c r="A13" s="0" t="s">
        <v>60</v>
      </c>
      <c r="B13" s="0" t="s">
        <v>59</v>
      </c>
      <c r="C13" s="0" t="s">
        <v>177</v>
      </c>
      <c r="D13" s="10"/>
    </row>
    <row r="14" customFormat="false" ht="15" hidden="false" customHeight="false" outlineLevel="0" collapsed="false">
      <c r="A14" s="0" t="s">
        <v>77</v>
      </c>
      <c r="B14" s="0" t="s">
        <v>76</v>
      </c>
      <c r="C14" s="0" t="s">
        <v>178</v>
      </c>
      <c r="D14" s="10"/>
    </row>
    <row r="15" customFormat="false" ht="15" hidden="false" customHeight="false" outlineLevel="0" collapsed="false">
      <c r="A15" s="0" t="s">
        <v>127</v>
      </c>
      <c r="B15" s="0" t="s">
        <v>126</v>
      </c>
      <c r="C15" s="0" t="s">
        <v>124</v>
      </c>
      <c r="D15" s="10"/>
    </row>
    <row r="16" customFormat="false" ht="15" hidden="false" customHeight="false" outlineLevel="0" collapsed="false">
      <c r="A16" s="0" t="s">
        <v>117</v>
      </c>
      <c r="B16" s="0" t="s">
        <v>116</v>
      </c>
      <c r="C16" s="0" t="s">
        <v>114</v>
      </c>
      <c r="D16" s="10"/>
    </row>
    <row r="17" customFormat="false" ht="15" hidden="false" customHeight="false" outlineLevel="0" collapsed="false">
      <c r="A17" s="0" t="s">
        <v>93</v>
      </c>
      <c r="B17" s="0" t="s">
        <v>92</v>
      </c>
      <c r="C17" s="0" t="s">
        <v>89</v>
      </c>
      <c r="D17" s="10"/>
    </row>
    <row r="18" customFormat="false" ht="15" hidden="false" customHeight="false" outlineLevel="0" collapsed="false">
      <c r="A18" s="0" t="s">
        <v>103</v>
      </c>
      <c r="B18" s="0" t="s">
        <v>102</v>
      </c>
      <c r="C18" s="0" t="s">
        <v>99</v>
      </c>
      <c r="D18" s="10"/>
    </row>
    <row r="19" customFormat="false" ht="15" hidden="false" customHeight="false" outlineLevel="0" collapsed="false">
      <c r="A19" s="0" t="s">
        <v>111</v>
      </c>
      <c r="B19" s="0" t="s">
        <v>110</v>
      </c>
      <c r="C19" s="0" t="s">
        <v>107</v>
      </c>
      <c r="D19" s="10"/>
    </row>
    <row r="20" customFormat="false" ht="15" hidden="false" customHeight="false" outlineLevel="0" collapsed="false">
      <c r="A20" s="0" t="s">
        <v>36</v>
      </c>
      <c r="B20" s="0" t="s">
        <v>35</v>
      </c>
      <c r="C20" s="0" t="s">
        <v>179</v>
      </c>
      <c r="D20" s="10"/>
    </row>
    <row r="21" customFormat="false" ht="15" hidden="false" customHeight="false" outlineLevel="0" collapsed="false">
      <c r="A21" s="0" t="s">
        <v>83</v>
      </c>
      <c r="B21" s="0" t="s">
        <v>82</v>
      </c>
      <c r="C21" s="0" t="s">
        <v>180</v>
      </c>
      <c r="D21" s="10"/>
    </row>
    <row r="22" customFormat="false" ht="15" hidden="false" customHeight="false" outlineLevel="0" collapsed="false">
      <c r="A22" s="0" t="s">
        <v>40</v>
      </c>
      <c r="B22" s="0" t="s">
        <v>39</v>
      </c>
      <c r="C22" s="0" t="s">
        <v>181</v>
      </c>
      <c r="D22" s="10"/>
    </row>
    <row r="23" customFormat="false" ht="15" hidden="false" customHeight="false" outlineLevel="0" collapsed="false">
      <c r="A23" s="0" t="s">
        <v>38</v>
      </c>
      <c r="B23" s="0" t="s">
        <v>37</v>
      </c>
      <c r="C23" s="0" t="s">
        <v>181</v>
      </c>
      <c r="D2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182</v>
      </c>
      <c r="B1" s="3" t="s">
        <v>183</v>
      </c>
    </row>
    <row r="2" customFormat="false" ht="23.85" hidden="false" customHeight="false" outlineLevel="0" collapsed="false">
      <c r="A2" s="12" t="s">
        <v>184</v>
      </c>
      <c r="B2" s="12" t="s">
        <v>185</v>
      </c>
    </row>
    <row r="3" customFormat="false" ht="23.85" hidden="false" customHeight="false" outlineLevel="0" collapsed="false">
      <c r="A3" s="12" t="s">
        <v>186</v>
      </c>
      <c r="B3" s="12" t="s">
        <v>187</v>
      </c>
    </row>
    <row r="4" customFormat="false" ht="23.85" hidden="false" customHeight="false" outlineLevel="0" collapsed="false">
      <c r="A4" s="12" t="s">
        <v>188</v>
      </c>
      <c r="B4" s="12" t="s">
        <v>189</v>
      </c>
    </row>
    <row r="5" customFormat="false" ht="23.85" hidden="false" customHeight="false" outlineLevel="0" collapsed="false">
      <c r="A5" s="12" t="s">
        <v>190</v>
      </c>
      <c r="B5" s="12" t="s">
        <v>191</v>
      </c>
    </row>
    <row r="6" customFormat="false" ht="15" hidden="false" customHeight="false" outlineLevel="0" collapsed="false">
      <c r="A6" s="12" t="s">
        <v>192</v>
      </c>
      <c r="B6" s="12" t="s">
        <v>193</v>
      </c>
    </row>
    <row r="7" customFormat="false" ht="15" hidden="false" customHeight="false" outlineLevel="0" collapsed="false">
      <c r="A7" s="12" t="s">
        <v>194</v>
      </c>
      <c r="B7" s="12" t="s">
        <v>195</v>
      </c>
    </row>
    <row r="8" customFormat="false" ht="23.85" hidden="false" customHeight="false" outlineLevel="0" collapsed="false">
      <c r="A8" s="12" t="s">
        <v>196</v>
      </c>
      <c r="B8" s="12" t="s">
        <v>197</v>
      </c>
    </row>
    <row r="9" customFormat="false" ht="15" hidden="false" customHeight="false" outlineLevel="0" collapsed="false">
      <c r="A9" s="12" t="s">
        <v>198</v>
      </c>
      <c r="B9" s="12" t="s">
        <v>199</v>
      </c>
    </row>
    <row r="10" customFormat="false" ht="15" hidden="false" customHeight="false" outlineLevel="0" collapsed="false">
      <c r="A10" s="12" t="s">
        <v>200</v>
      </c>
      <c r="B10" s="12" t="s">
        <v>201</v>
      </c>
    </row>
    <row r="11" customFormat="false" ht="15" hidden="false" customHeight="false" outlineLevel="0" collapsed="false">
      <c r="A11" s="12" t="s">
        <v>202</v>
      </c>
      <c r="B11" s="12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2026-09-16T21:45:45Z</dcterms:created>
  <dc:creator>openpyxl</dc:creator>
  <dc:description/>
  <dc:language>en-US</dc:language>
  <cp:lastModifiedBy/>
  <dcterms:modified xsi:type="dcterms:W3CDTF">2026-09-16T21:45:45Z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