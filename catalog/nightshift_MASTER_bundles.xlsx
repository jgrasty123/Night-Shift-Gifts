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ight Shift Master Bundles" sheetId="2" state="visible" r:id="rId4"/>
    <sheet name="SumTracker Upload" sheetId="3" state="visible" r:id="rId5"/>
    <sheet name="Price Worksheet" sheetId="4" state="visible" r:id="rId6"/>
    <sheet name="New Components" sheetId="5" state="visible" r:id="rId7"/>
    <sheet name="Open Fla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Assumption: 60% product margin as a starting point. Change per basket.</t>
        </r>
      </text>
    </comment>
    <comment ref="H1" authorId="0">
      <text>
        <r>
          <rPr>
            <sz val="10"/>
            <rFont val="Arial"/>
            <family val="2"/>
          </rPr>
          <t xml:space="preserve">Enter the retail price. Known cost excludes shipping, adult signature and payment fees.</t>
        </r>
      </text>
    </comment>
  </commentList>
</comments>
</file>

<file path=xl/sharedStrings.xml><?xml version="1.0" encoding="utf-8"?>
<sst xmlns="http://schemas.openxmlformats.org/spreadsheetml/2006/main" count="1703" uniqueCount="205">
  <si>
    <t xml:space="preserve">Night Shift Gift Co. — Master Bundles (same layout as bounty_MASTER_bundles)</t>
  </si>
  <si>
    <t xml:space="preserve">Packaging: white box + white fill for mom, baby, shower and couples baskets. Black box + black fill for the dad baskets (NS-006, NS-007, NS-008).</t>
  </si>
  <si>
    <t xml:space="preserve">Tabs</t>
  </si>
  <si>
    <t xml:space="preserve">  Night Shift Master Bundles — one row per component per basket. Unit cost pulls from New Components when blank.</t>
  </si>
  <si>
    <t xml:space="preserve">  SumTracker Upload — Parent sku, component_sku, quantity. Upload once every NEW / Confirm SKU item exists in SumTracker.</t>
  </si>
  <si>
    <t xml:space="preserve">  New Components — SKUs to create or confirm. Fill the yellow Unit Cost column; costs flow into every basket.</t>
  </si>
  <si>
    <t xml:space="preserve">  Price Worksheet — cost roll-up per basket. Fill the yellow Target Margin and Your Price cells.</t>
  </si>
  <si>
    <t xml:space="preserve">  Open Flags — decisions needed before upload.</t>
  </si>
  <si>
    <t xml:space="preserve">Colors: yellow = you fill in. Blue = hardcoded cost (Bounty master sheet, BroBasket cost sheet, or Shopify variant cost). Black = formula.</t>
  </si>
  <si>
    <t xml:space="preserve">Generated from catalog/recipes.json by catalog/build_bundles.py.</t>
  </si>
  <si>
    <t xml:space="preserve">Parent Name</t>
  </si>
  <si>
    <t xml:space="preserve">Parent sku</t>
  </si>
  <si>
    <t xml:space="preserve">Variant</t>
  </si>
  <si>
    <t xml:space="preserve">Packaging</t>
  </si>
  <si>
    <t xml:space="preserve">Component Name</t>
  </si>
  <si>
    <t xml:space="preserve">component_sku</t>
  </si>
  <si>
    <t xml:space="preserve">quantity</t>
  </si>
  <si>
    <t xml:space="preserve">Unit Cost ($)</t>
  </si>
  <si>
    <t xml:space="preserve">Line Total ($)</t>
  </si>
  <si>
    <t xml:space="preserve">Status</t>
  </si>
  <si>
    <t xml:space="preserve">Midnight Toast — Push Present Gift Set</t>
  </si>
  <si>
    <t xml:space="preserve">NS-001</t>
  </si>
  <si>
    <t xml:space="preserve">Booze-free</t>
  </si>
  <si>
    <t xml:space="preserve">white small</t>
  </si>
  <si>
    <t xml:space="preserve">Fre Sparkling Brut Alcohol Removed</t>
  </si>
  <si>
    <t xml:space="preserve">AL-302</t>
  </si>
  <si>
    <t xml:space="preserve">Existing</t>
  </si>
  <si>
    <t xml:space="preserve">Champagne flute (engravable)</t>
  </si>
  <si>
    <t xml:space="preserve">ACC-NS-FLUTE</t>
  </si>
  <si>
    <t xml:space="preserve">NEW - create SKU</t>
  </si>
  <si>
    <t xml:space="preserve">Ghirardelli Dark Chocolate Bars</t>
  </si>
  <si>
    <t xml:space="preserve">FD-041</t>
  </si>
  <si>
    <t xml:space="preserve">Silk sleep mask</t>
  </si>
  <si>
    <t xml:space="preserve">ACC-NS-MASK</t>
  </si>
  <si>
    <t xml:space="preserve">The Stroller Saver - Stroller Safety Leash</t>
  </si>
  <si>
    <t xml:space="preserve">SA-003</t>
  </si>
  <si>
    <t xml:space="preserve">Lil &amp; Mil</t>
  </si>
  <si>
    <t xml:space="preserve">White Bounty Basket Box</t>
  </si>
  <si>
    <t xml:space="preserve">PKG-100</t>
  </si>
  <si>
    <t xml:space="preserve">Krinkle Cut Fill</t>
  </si>
  <si>
    <t xml:space="preserve">PKG-059</t>
  </si>
  <si>
    <t xml:space="preserve">Small Backer Board</t>
  </si>
  <si>
    <t xml:space="preserve">PKG-005</t>
  </si>
  <si>
    <t xml:space="preserve">Small Shrink Wrap Bags</t>
  </si>
  <si>
    <t xml:space="preserve">PKG-073</t>
  </si>
  <si>
    <t xml:space="preserve">NS-001-ALC</t>
  </si>
  <si>
    <t xml:space="preserve">With sparkling wine</t>
  </si>
  <si>
    <t xml:space="preserve">Mumm Sparkling Brut Prestige 750ml</t>
  </si>
  <si>
    <t xml:space="preserve">WINE-013</t>
  </si>
  <si>
    <t xml:space="preserve">Off the Clock — Gifts for New Moms (Not for the Baby)</t>
  </si>
  <si>
    <t xml:space="preserve">NS-002</t>
  </si>
  <si>
    <t xml:space="preserve">Flower Market Rose Bath Bomb</t>
  </si>
  <si>
    <t xml:space="preserve">ACC-201</t>
  </si>
  <si>
    <t xml:space="preserve">Biodance Bio-Collagen Facemask</t>
  </si>
  <si>
    <t xml:space="preserve">ACC-203</t>
  </si>
  <si>
    <t xml:space="preserve">Ferrero Rocher 3pc</t>
  </si>
  <si>
    <t xml:space="preserve">FD-034</t>
  </si>
  <si>
    <t xml:space="preserve">Cozy socks</t>
  </si>
  <si>
    <t xml:space="preserve">ACC-NS-SOCKS</t>
  </si>
  <si>
    <t xml:space="preserve">Soy Wax Candle — Lavender Fields</t>
  </si>
  <si>
    <t xml:space="preserve">ACC-SPA-04</t>
  </si>
  <si>
    <t xml:space="preserve">NS-002-ALC</t>
  </si>
  <si>
    <t xml:space="preserve">With wine</t>
  </si>
  <si>
    <t xml:space="preserve">Seaglass Pinot Noir</t>
  </si>
  <si>
    <t xml:space="preserve">WINE-001</t>
  </si>
  <si>
    <t xml:space="preserve">Recovery Shift — Postpartum Care Package</t>
  </si>
  <si>
    <t xml:space="preserve">NS-003</t>
  </si>
  <si>
    <t xml:space="preserve">Default</t>
  </si>
  <si>
    <t xml:space="preserve">white large</t>
  </si>
  <si>
    <t xml:space="preserve">Soft throw or robe</t>
  </si>
  <si>
    <t xml:space="preserve">ACC-NS-ROBE</t>
  </si>
  <si>
    <t xml:space="preserve">Lip balm</t>
  </si>
  <si>
    <t xml:space="preserve">ACC-NS-LIPBALM</t>
  </si>
  <si>
    <t xml:space="preserve">Dry shampoo</t>
  </si>
  <si>
    <t xml:space="preserve">ACC-NS-DRYSHAMPOO</t>
  </si>
  <si>
    <t xml:space="preserve">Insulated tumbler</t>
  </si>
  <si>
    <t xml:space="preserve">ACC-NS-TUMBLER</t>
  </si>
  <si>
    <t xml:space="preserve">Marich Sea Salt Almonds</t>
  </si>
  <si>
    <t xml:space="preserve">FD-119</t>
  </si>
  <si>
    <t xml:space="preserve">Nonni's Almond Dark Chocolate Biscoti</t>
  </si>
  <si>
    <t xml:space="preserve">FD-071</t>
  </si>
  <si>
    <t xml:space="preserve">Large Backer Boards</t>
  </si>
  <si>
    <t xml:space="preserve">PKG-002</t>
  </si>
  <si>
    <t xml:space="preserve">medium Shrink Wrap Bags</t>
  </si>
  <si>
    <t xml:space="preserve">PKG-063</t>
  </si>
  <si>
    <t xml:space="preserve">The 3AM Feed — New Mom Gift Basket</t>
  </si>
  <si>
    <t xml:space="preserve">NS-004</t>
  </si>
  <si>
    <t xml:space="preserve">Popcornopolis Gourmet Flavored Popcorn</t>
  </si>
  <si>
    <t xml:space="preserve">FD-077</t>
  </si>
  <si>
    <t xml:space="preserve">Lactation cookies</t>
  </si>
  <si>
    <t xml:space="preserve">FD-NS-LACTATION</t>
  </si>
  <si>
    <t xml:space="preserve">Portable night-light</t>
  </si>
  <si>
    <t xml:space="preserve">ACC-NS-NIGHTLIGHT</t>
  </si>
  <si>
    <t xml:space="preserve">Stroller Clips for Bags - 2 Pack</t>
  </si>
  <si>
    <t xml:space="preserve">SA-002</t>
  </si>
  <si>
    <t xml:space="preserve">Before the Night Shift — Mom-to-Be Gift Box</t>
  </si>
  <si>
    <t xml:space="preserve">NS-005</t>
  </si>
  <si>
    <t xml:space="preserve">Belly butter</t>
  </si>
  <si>
    <t xml:space="preserve">ACC-NS-BELLYBUTTER</t>
  </si>
  <si>
    <t xml:space="preserve">Zero-proof mocktail kit</t>
  </si>
  <si>
    <t xml:space="preserve">MXR-NS-MOCKTAIL</t>
  </si>
  <si>
    <t xml:space="preserve">Tot Tote Stroller Organizer and Crossbody Diaper Bag</t>
  </si>
  <si>
    <t xml:space="preserve">SA-005</t>
  </si>
  <si>
    <t xml:space="preserve">Graveyard Shift Survival Kit — New Dad Gift</t>
  </si>
  <si>
    <t xml:space="preserve">NS-006</t>
  </si>
  <si>
    <t xml:space="preserve">black large</t>
  </si>
  <si>
    <t xml:space="preserve">Country Archer Original Beef Jerky</t>
  </si>
  <si>
    <t xml:space="preserve">FD-026</t>
  </si>
  <si>
    <t xml:space="preserve">Craft root beer 12oz</t>
  </si>
  <si>
    <t xml:space="preserve">MXR-NS-ROOTBEER</t>
  </si>
  <si>
    <t xml:space="preserve">Car Seat Travel Belt for Luggage</t>
  </si>
  <si>
    <t xml:space="preserve">TA-001</t>
  </si>
  <si>
    <t xml:space="preserve">Large black gift box (confirm SKU)</t>
  </si>
  <si>
    <t xml:space="preserve">PKG-BOX-BLACK-L</t>
  </si>
  <si>
    <t xml:space="preserve">Confirm SKU</t>
  </si>
  <si>
    <t xml:space="preserve">NS-006-ALC</t>
  </si>
  <si>
    <t xml:space="preserve">With craft beer</t>
  </si>
  <si>
    <t xml:space="preserve">Craft beer (pick Brew Hunters SKU)</t>
  </si>
  <si>
    <t xml:space="preserve">BEER-TBD</t>
  </si>
  <si>
    <t xml:space="preserve">Nightcap — First-Time Dad Gift</t>
  </si>
  <si>
    <t xml:space="preserve">NS-007</t>
  </si>
  <si>
    <t xml:space="preserve">black small</t>
  </si>
  <si>
    <t xml:space="preserve">Santa Barbara Roasting Co Coffee</t>
  </si>
  <si>
    <t xml:space="preserve">FD-086</t>
  </si>
  <si>
    <t xml:space="preserve">Rocks Glass</t>
  </si>
  <si>
    <t xml:space="preserve">ACC-025</t>
  </si>
  <si>
    <t xml:space="preserve">Small Black Box</t>
  </si>
  <si>
    <t xml:space="preserve">PKG-082</t>
  </si>
  <si>
    <t xml:space="preserve">NS-007-ALC</t>
  </si>
  <si>
    <t xml:space="preserve">With whiskey</t>
  </si>
  <si>
    <t xml:space="preserve">Whiskey (pick BroBasket SKU)</t>
  </si>
  <si>
    <t xml:space="preserve">AL-TBD-WHISKEY</t>
  </si>
  <si>
    <t xml:space="preserve">Night Shift Dad — Diaper Duty Gift Pack</t>
  </si>
  <si>
    <t xml:space="preserve">NS-008</t>
  </si>
  <si>
    <t xml:space="preserve">Caribbean Coffee</t>
  </si>
  <si>
    <t xml:space="preserve">FD-005</t>
  </si>
  <si>
    <t xml:space="preserve">Packs of Snyder’s Pretzels</t>
  </si>
  <si>
    <t xml:space="preserve">FD-081</t>
  </si>
  <si>
    <t xml:space="preserve">Lights Out Date Night — New Parents Gift Basket</t>
  </si>
  <si>
    <t xml:space="preserve">NS-009</t>
  </si>
  <si>
    <t xml:space="preserve">Wine Glass</t>
  </si>
  <si>
    <t xml:space="preserve">ACC-033</t>
  </si>
  <si>
    <t xml:space="preserve">Marich Dark Chocolate Blueberries</t>
  </si>
  <si>
    <t xml:space="preserve">FD-062</t>
  </si>
  <si>
    <t xml:space="preserve">Marich Milk Chocolate English Toffee Caramels</t>
  </si>
  <si>
    <t xml:space="preserve">FD-065</t>
  </si>
  <si>
    <t xml:space="preserve">Card / Mini Game Set</t>
  </si>
  <si>
    <t xml:space="preserve">ACC-GAME-CARDS</t>
  </si>
  <si>
    <t xml:space="preserve">Placeholder - not in SumTracker</t>
  </si>
  <si>
    <t xml:space="preserve">NS-009-ALC</t>
  </si>
  <si>
    <t xml:space="preserve">Wine Opener</t>
  </si>
  <si>
    <t xml:space="preserve">ACC-034</t>
  </si>
  <si>
    <t xml:space="preserve">The Morning After — New Parents Coffee Gift Box</t>
  </si>
  <si>
    <t xml:space="preserve">NS-010</t>
  </si>
  <si>
    <t xml:space="preserve">Ceramic Mug Pair</t>
  </si>
  <si>
    <t xml:space="preserve">ACC-MUG-PAIR</t>
  </si>
  <si>
    <t xml:space="preserve">Clock-In Kit — Baby Shower Gift Basket</t>
  </si>
  <si>
    <t xml:space="preserve">NS-011</t>
  </si>
  <si>
    <t xml:space="preserve">Midnight Snack — Baby's First Feeding Set</t>
  </si>
  <si>
    <t xml:space="preserve">NS-012</t>
  </si>
  <si>
    <t xml:space="preserve">Baby &amp; Toddler Silicone Plates Set of 2 - Black</t>
  </si>
  <si>
    <t xml:space="preserve">1010</t>
  </si>
  <si>
    <t xml:space="preserve">Silicone Baby &amp; Toddler Cup - Black</t>
  </si>
  <si>
    <t xml:space="preserve">2000</t>
  </si>
  <si>
    <t xml:space="preserve">Baby bibs (2pk)</t>
  </si>
  <si>
    <t xml:space="preserve">ACC-NS-BIBS</t>
  </si>
  <si>
    <t xml:space="preserve">Baby board book</t>
  </si>
  <si>
    <t xml:space="preserve">ACC-NS-BOARDBOOK</t>
  </si>
  <si>
    <t xml:space="preserve">Double Shift — Mom &amp; Baby Gift Set</t>
  </si>
  <si>
    <t xml:space="preserve">NS-013</t>
  </si>
  <si>
    <t xml:space="preserve">Known Cost ($)</t>
  </si>
  <si>
    <t xml:space="preserve">Components Missing Cost</t>
  </si>
  <si>
    <t xml:space="preserve">Target Margin</t>
  </si>
  <si>
    <t xml:space="preserve">Suggested Price ($)</t>
  </si>
  <si>
    <t xml:space="preserve">Your Price ($)</t>
  </si>
  <si>
    <t xml:space="preserve">Margin at Your Price</t>
  </si>
  <si>
    <t xml:space="preserve">Used in (parent skus)</t>
  </si>
  <si>
    <t xml:space="preserve">Notes</t>
  </si>
  <si>
    <t xml:space="preserve">NS-009, NS-009-ALC</t>
  </si>
  <si>
    <t xml:space="preserve">Listed in the Bounty sheet but not in SumTracker</t>
  </si>
  <si>
    <t xml:space="preserve">NS-001, NS-001-ALC</t>
  </si>
  <si>
    <t xml:space="preserve">NS-002, NS-002-ALC, NS-005</t>
  </si>
  <si>
    <t xml:space="preserve">NS-003, NS-004</t>
  </si>
  <si>
    <t xml:space="preserve">NS-006, NS-006-ALC, NS-008</t>
  </si>
  <si>
    <t xml:space="preserve">You stock this already — replace with the real SKU in recipes.json</t>
  </si>
  <si>
    <t xml:space="preserve">Check</t>
  </si>
  <si>
    <t xml:space="preserve">Detail</t>
  </si>
  <si>
    <t xml:space="preserve">Packaging SKUs to confirm</t>
  </si>
  <si>
    <t xml:space="preserve">Every basket uses PKG-059 Krinkle Cut Fill ($0.50) — one fill SKU regardless of color (James, Sep 16). Small black box = PKG-082. The large black box exists in SumTracker but its SKU was not in the Bounty or BroBasket sheets: placeholder PKG-BOX-BLACK-L until confirmed.</t>
  </si>
  <si>
    <t xml:space="preserve">Box size</t>
  </si>
  <si>
    <t xml:space="preserve">White baskets use PKG-100 White Bounty Basket Box ($4.58). NS-003, NS-005 and NS-011 carry the Tot Tote or a robe — confirm PKG-100 fits or add a larger white box SKU. Dad baskets NS-006 and NS-008 need the large black box; NS-007 uses PKG-082 Small Black Box ($1.00).</t>
  </si>
  <si>
    <t xml:space="preserve">Couples baskets</t>
  </si>
  <si>
    <t xml:space="preserve">NS-009 Lights Out Date Night and NS-010 The Morning After are packed white. Switch them to black in recipes.json if you'd rather.</t>
  </si>
  <si>
    <t xml:space="preserve">Lil &amp; Mil SKUs in SumTracker</t>
  </si>
  <si>
    <t xml:space="preserve">SA-003, SA-002, SA-005, TA-001, 2000, 1010 must exist in SumTracker with correct stock before uploading recipes.</t>
  </si>
  <si>
    <t xml:space="preserve">Alcohol variants (-ALC)</t>
  </si>
  <si>
    <t xml:space="preserve">Upload -ALC recipes only once it is decided which store sells alcohol baskets. BEER-TBD and AL-TBD-WHISKEY need real SKUs.</t>
  </si>
  <si>
    <t xml:space="preserve">Zero-proof sparkling</t>
  </si>
  <si>
    <t xml:space="preserve">AL-302 Fre Sparkling Brut Alcohol Removed ($9.00) in NS-001 and NS-009.</t>
  </si>
  <si>
    <t xml:space="preserve">Pregnancy-safe items (NS-005)</t>
  </si>
  <si>
    <t xml:space="preserve">ACC-203 face mask is in the Mom-to-Be box — confirm it is suitable in pregnancy.</t>
  </si>
  <si>
    <t xml:space="preserve">Cup and plate colors</t>
  </si>
  <si>
    <t xml:space="preserve">Recipes use Black (2000 cup, 1010 plates). Only ~39 plate sets remain.</t>
  </si>
  <si>
    <t xml:space="preserve">Bounty placeholders reused</t>
  </si>
  <si>
    <t xml:space="preserve">ACC-GAME-CARDS (NS-009) and ACC-MUG-PAIR (NS-010) are in the Bounty sheet but not in SumTracker.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</si>
</sst>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4" t="n">
        <v>1</v>
      </c>
      <c r="H2" s="5" t="n">
        <v>9</v>
      </c>
      <c r="I2" s="6" t="n">
        <f aca="false">IF(H2="","",G2*H2)</f>
        <v>9</v>
      </c>
      <c r="J2" s="2" t="s">
        <v>26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27</v>
      </c>
      <c r="F3" s="2" t="s">
        <v>28</v>
      </c>
      <c r="G3" s="4" t="n">
        <v>1</v>
      </c>
      <c r="H3" s="6" t="str">
        <f aca="false">IFERROR(IF(INDEX('New Components'!$E$2:$E$20,MATCH(F3,'New Components'!$A$2:$A$20,0))="","",INDEX('New Components'!$E$2:$E$20,MATCH(F3,'New Components'!$A$2:$A$20,0))),"")</f>
        <v/>
      </c>
      <c r="I3" s="6" t="str">
        <f aca="false">IF(H3="","",G3*H3)</f>
        <v/>
      </c>
      <c r="J3" s="2" t="s">
        <v>29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30</v>
      </c>
      <c r="F4" s="2" t="s">
        <v>31</v>
      </c>
      <c r="G4" s="4" t="n">
        <v>1</v>
      </c>
      <c r="H4" s="5" t="n">
        <v>3</v>
      </c>
      <c r="I4" s="6" t="n">
        <f aca="false">IF(H4="","",G4*H4)</f>
        <v>3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32</v>
      </c>
      <c r="F5" s="2" t="s">
        <v>33</v>
      </c>
      <c r="G5" s="4" t="n">
        <v>1</v>
      </c>
      <c r="H5" s="6" t="str">
        <f aca="false">IFERROR(IF(INDEX('New Components'!$E$2:$E$20,MATCH(F5,'New Components'!$A$2:$A$20,0))="","",INDEX('New Components'!$E$2:$E$20,MATCH(F5,'New Components'!$A$2:$A$20,0))),"")</f>
        <v/>
      </c>
      <c r="I5" s="6" t="str">
        <f aca="false">IF(H5="","",G5*H5)</f>
        <v/>
      </c>
      <c r="J5" s="2" t="s">
        <v>29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  <c r="E6" s="2" t="s">
        <v>34</v>
      </c>
      <c r="F6" s="2" t="s">
        <v>35</v>
      </c>
      <c r="G6" s="4" t="n">
        <v>1</v>
      </c>
      <c r="H6" s="5" t="n">
        <v>4</v>
      </c>
      <c r="I6" s="6" t="n">
        <f aca="false">IF(H6="","",G6*H6)</f>
        <v>4</v>
      </c>
      <c r="J6" s="2" t="s">
        <v>36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23</v>
      </c>
      <c r="E7" s="2" t="s">
        <v>37</v>
      </c>
      <c r="F7" s="2" t="s">
        <v>38</v>
      </c>
      <c r="G7" s="4" t="n">
        <v>1</v>
      </c>
      <c r="H7" s="5" t="n">
        <v>4.58</v>
      </c>
      <c r="I7" s="6" t="n">
        <f aca="false">IF(H7="","",G7*H7)</f>
        <v>4.58</v>
      </c>
      <c r="J7" s="2" t="s">
        <v>26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22</v>
      </c>
      <c r="D8" s="2" t="s">
        <v>23</v>
      </c>
      <c r="E8" s="2" t="s">
        <v>39</v>
      </c>
      <c r="F8" s="2" t="s">
        <v>40</v>
      </c>
      <c r="G8" s="4" t="n">
        <v>1</v>
      </c>
      <c r="H8" s="5" t="n">
        <v>0.5</v>
      </c>
      <c r="I8" s="6" t="n">
        <f aca="false">IF(H8="","",G8*H8)</f>
        <v>0.5</v>
      </c>
      <c r="J8" s="2" t="s">
        <v>26</v>
      </c>
    </row>
    <row r="9" customFormat="false" ht="15" hidden="false" customHeight="false" outlineLevel="0" collapsed="false">
      <c r="A9" s="2" t="s">
        <v>20</v>
      </c>
      <c r="B9" s="2" t="s">
        <v>21</v>
      </c>
      <c r="C9" s="2" t="s">
        <v>22</v>
      </c>
      <c r="D9" s="2" t="s">
        <v>23</v>
      </c>
      <c r="E9" s="2" t="s">
        <v>41</v>
      </c>
      <c r="F9" s="2" t="s">
        <v>42</v>
      </c>
      <c r="G9" s="4" t="n">
        <v>1</v>
      </c>
      <c r="H9" s="5" t="n">
        <v>0.25</v>
      </c>
      <c r="I9" s="6" t="n">
        <f aca="false">IF(H9="","",G9*H9)</f>
        <v>0.25</v>
      </c>
      <c r="J9" s="2" t="s">
        <v>26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43</v>
      </c>
      <c r="F10" s="2" t="s">
        <v>44</v>
      </c>
      <c r="G10" s="4" t="n">
        <v>1</v>
      </c>
      <c r="H10" s="5" t="n">
        <v>0.33</v>
      </c>
      <c r="I10" s="6" t="n">
        <f aca="false">IF(H10="","",G10*H10)</f>
        <v>0.33</v>
      </c>
      <c r="J10" s="2" t="s">
        <v>26</v>
      </c>
    </row>
    <row r="11" customFormat="false" ht="15" hidden="false" customHeight="false" outlineLevel="0" collapsed="false">
      <c r="A11" s="2" t="s">
        <v>20</v>
      </c>
      <c r="B11" s="2" t="s">
        <v>45</v>
      </c>
      <c r="C11" s="2" t="s">
        <v>46</v>
      </c>
      <c r="D11" s="2" t="s">
        <v>23</v>
      </c>
      <c r="E11" s="2" t="s">
        <v>27</v>
      </c>
      <c r="F11" s="2" t="s">
        <v>28</v>
      </c>
      <c r="G11" s="4" t="n">
        <v>1</v>
      </c>
      <c r="H11" s="6" t="str">
        <f aca="false">IFERROR(IF(INDEX('New Components'!$E$2:$E$20,MATCH(F11,'New Components'!$A$2:$A$20,0))="","",INDEX('New Components'!$E$2:$E$20,MATCH(F11,'New Components'!$A$2:$A$20,0))),"")</f>
        <v/>
      </c>
      <c r="I11" s="6" t="str">
        <f aca="false">IF(H11="","",G11*H11)</f>
        <v/>
      </c>
      <c r="J11" s="2" t="s">
        <v>29</v>
      </c>
    </row>
    <row r="12" customFormat="false" ht="15" hidden="false" customHeight="false" outlineLevel="0" collapsed="false">
      <c r="A12" s="2" t="s">
        <v>20</v>
      </c>
      <c r="B12" s="2" t="s">
        <v>45</v>
      </c>
      <c r="C12" s="2" t="s">
        <v>46</v>
      </c>
      <c r="D12" s="2" t="s">
        <v>23</v>
      </c>
      <c r="E12" s="2" t="s">
        <v>30</v>
      </c>
      <c r="F12" s="2" t="s">
        <v>31</v>
      </c>
      <c r="G12" s="4" t="n">
        <v>1</v>
      </c>
      <c r="H12" s="5" t="n">
        <v>3</v>
      </c>
      <c r="I12" s="6" t="n">
        <f aca="false">IF(H12="","",G12*H12)</f>
        <v>3</v>
      </c>
      <c r="J12" s="2" t="s">
        <v>26</v>
      </c>
    </row>
    <row r="13" customFormat="false" ht="15" hidden="false" customHeight="false" outlineLevel="0" collapsed="false">
      <c r="A13" s="2" t="s">
        <v>20</v>
      </c>
      <c r="B13" s="2" t="s">
        <v>45</v>
      </c>
      <c r="C13" s="2" t="s">
        <v>46</v>
      </c>
      <c r="D13" s="2" t="s">
        <v>23</v>
      </c>
      <c r="E13" s="2" t="s">
        <v>32</v>
      </c>
      <c r="F13" s="2" t="s">
        <v>33</v>
      </c>
      <c r="G13" s="4" t="n">
        <v>1</v>
      </c>
      <c r="H13" s="6" t="str">
        <f aca="false">IFERROR(IF(INDEX('New Components'!$E$2:$E$20,MATCH(F13,'New Components'!$A$2:$A$20,0))="","",INDEX('New Components'!$E$2:$E$20,MATCH(F13,'New Components'!$A$2:$A$20,0))),"")</f>
        <v/>
      </c>
      <c r="I13" s="6" t="str">
        <f aca="false">IF(H13="","",G13*H13)</f>
        <v/>
      </c>
      <c r="J13" s="2" t="s">
        <v>29</v>
      </c>
    </row>
    <row r="14" customFormat="false" ht="15" hidden="false" customHeight="false" outlineLevel="0" collapsed="false">
      <c r="A14" s="2" t="s">
        <v>20</v>
      </c>
      <c r="B14" s="2" t="s">
        <v>45</v>
      </c>
      <c r="C14" s="2" t="s">
        <v>46</v>
      </c>
      <c r="D14" s="2" t="s">
        <v>23</v>
      </c>
      <c r="E14" s="2" t="s">
        <v>34</v>
      </c>
      <c r="F14" s="2" t="s">
        <v>35</v>
      </c>
      <c r="G14" s="4" t="n">
        <v>1</v>
      </c>
      <c r="H14" s="5" t="n">
        <v>4</v>
      </c>
      <c r="I14" s="6" t="n">
        <f aca="false">IF(H14="","",G14*H14)</f>
        <v>4</v>
      </c>
      <c r="J14" s="2" t="s">
        <v>36</v>
      </c>
    </row>
    <row r="15" customFormat="false" ht="15" hidden="false" customHeight="false" outlineLevel="0" collapsed="false">
      <c r="A15" s="2" t="s">
        <v>20</v>
      </c>
      <c r="B15" s="2" t="s">
        <v>45</v>
      </c>
      <c r="C15" s="2" t="s">
        <v>46</v>
      </c>
      <c r="D15" s="2" t="s">
        <v>23</v>
      </c>
      <c r="E15" s="2" t="s">
        <v>47</v>
      </c>
      <c r="F15" s="2" t="s">
        <v>48</v>
      </c>
      <c r="G15" s="4" t="n">
        <v>1</v>
      </c>
      <c r="H15" s="5" t="n">
        <v>16.78</v>
      </c>
      <c r="I15" s="6" t="n">
        <f aca="false">IF(H15="","",G15*H15)</f>
        <v>16.78</v>
      </c>
      <c r="J15" s="2" t="s">
        <v>26</v>
      </c>
    </row>
    <row r="16" customFormat="false" ht="15" hidden="false" customHeight="false" outlineLevel="0" collapsed="false">
      <c r="A16" s="2" t="s">
        <v>20</v>
      </c>
      <c r="B16" s="2" t="s">
        <v>45</v>
      </c>
      <c r="C16" s="2" t="s">
        <v>46</v>
      </c>
      <c r="D16" s="2" t="s">
        <v>23</v>
      </c>
      <c r="E16" s="2" t="s">
        <v>37</v>
      </c>
      <c r="F16" s="2" t="s">
        <v>38</v>
      </c>
      <c r="G16" s="4" t="n">
        <v>1</v>
      </c>
      <c r="H16" s="5" t="n">
        <v>4.58</v>
      </c>
      <c r="I16" s="6" t="n">
        <f aca="false">IF(H16="","",G16*H16)</f>
        <v>4.58</v>
      </c>
      <c r="J16" s="2" t="s">
        <v>26</v>
      </c>
    </row>
    <row r="17" customFormat="false" ht="15" hidden="false" customHeight="false" outlineLevel="0" collapsed="false">
      <c r="A17" s="2" t="s">
        <v>20</v>
      </c>
      <c r="B17" s="2" t="s">
        <v>45</v>
      </c>
      <c r="C17" s="2" t="s">
        <v>46</v>
      </c>
      <c r="D17" s="2" t="s">
        <v>23</v>
      </c>
      <c r="E17" s="2" t="s">
        <v>39</v>
      </c>
      <c r="F17" s="2" t="s">
        <v>40</v>
      </c>
      <c r="G17" s="4" t="n">
        <v>1</v>
      </c>
      <c r="H17" s="5" t="n">
        <v>0.5</v>
      </c>
      <c r="I17" s="6" t="n">
        <f aca="false">IF(H17="","",G17*H17)</f>
        <v>0.5</v>
      </c>
      <c r="J17" s="2" t="s">
        <v>26</v>
      </c>
    </row>
    <row r="18" customFormat="false" ht="15" hidden="false" customHeight="false" outlineLevel="0" collapsed="false">
      <c r="A18" s="2" t="s">
        <v>20</v>
      </c>
      <c r="B18" s="2" t="s">
        <v>45</v>
      </c>
      <c r="C18" s="2" t="s">
        <v>46</v>
      </c>
      <c r="D18" s="2" t="s">
        <v>23</v>
      </c>
      <c r="E18" s="2" t="s">
        <v>41</v>
      </c>
      <c r="F18" s="2" t="s">
        <v>42</v>
      </c>
      <c r="G18" s="4" t="n">
        <v>1</v>
      </c>
      <c r="H18" s="5" t="n">
        <v>0.25</v>
      </c>
      <c r="I18" s="6" t="n">
        <f aca="false">IF(H18="","",G18*H18)</f>
        <v>0.25</v>
      </c>
      <c r="J18" s="2" t="s">
        <v>26</v>
      </c>
    </row>
    <row r="19" customFormat="false" ht="15" hidden="false" customHeight="false" outlineLevel="0" collapsed="false">
      <c r="A19" s="2" t="s">
        <v>20</v>
      </c>
      <c r="B19" s="2" t="s">
        <v>45</v>
      </c>
      <c r="C19" s="2" t="s">
        <v>46</v>
      </c>
      <c r="D19" s="2" t="s">
        <v>23</v>
      </c>
      <c r="E19" s="2" t="s">
        <v>43</v>
      </c>
      <c r="F19" s="2" t="s">
        <v>44</v>
      </c>
      <c r="G19" s="4" t="n">
        <v>1</v>
      </c>
      <c r="H19" s="5" t="n">
        <v>0.33</v>
      </c>
      <c r="I19" s="6" t="n">
        <f aca="false">IF(H19="","",G19*H19)</f>
        <v>0.33</v>
      </c>
      <c r="J19" s="2" t="s">
        <v>26</v>
      </c>
    </row>
    <row r="20" customFormat="false" ht="15" hidden="false" customHeight="false" outlineLevel="0" collapsed="false">
      <c r="A20" s="2" t="s">
        <v>49</v>
      </c>
      <c r="B20" s="2" t="s">
        <v>50</v>
      </c>
      <c r="C20" s="2" t="s">
        <v>22</v>
      </c>
      <c r="D20" s="2" t="s">
        <v>23</v>
      </c>
      <c r="E20" s="2" t="s">
        <v>51</v>
      </c>
      <c r="F20" s="2" t="s">
        <v>52</v>
      </c>
      <c r="G20" s="4" t="n">
        <v>1</v>
      </c>
      <c r="H20" s="5" t="n">
        <v>4</v>
      </c>
      <c r="I20" s="6" t="n">
        <f aca="false">IF(H20="","",G20*H20)</f>
        <v>4</v>
      </c>
      <c r="J20" s="2" t="s">
        <v>26</v>
      </c>
    </row>
    <row r="21" customFormat="false" ht="15" hidden="false" customHeight="false" outlineLevel="0" collapsed="false">
      <c r="A21" s="2" t="s">
        <v>49</v>
      </c>
      <c r="B21" s="2" t="s">
        <v>50</v>
      </c>
      <c r="C21" s="2" t="s">
        <v>22</v>
      </c>
      <c r="D21" s="2" t="s">
        <v>23</v>
      </c>
      <c r="E21" s="2" t="s">
        <v>53</v>
      </c>
      <c r="F21" s="2" t="s">
        <v>54</v>
      </c>
      <c r="G21" s="4" t="n">
        <v>1</v>
      </c>
      <c r="H21" s="5" t="n">
        <v>2.5</v>
      </c>
      <c r="I21" s="6" t="n">
        <f aca="false">IF(H21="","",G21*H21)</f>
        <v>2.5</v>
      </c>
      <c r="J21" s="2" t="s">
        <v>26</v>
      </c>
    </row>
    <row r="22" customFormat="false" ht="15" hidden="false" customHeight="false" outlineLevel="0" collapsed="false">
      <c r="A22" s="2" t="s">
        <v>49</v>
      </c>
      <c r="B22" s="2" t="s">
        <v>50</v>
      </c>
      <c r="C22" s="2" t="s">
        <v>22</v>
      </c>
      <c r="D22" s="2" t="s">
        <v>23</v>
      </c>
      <c r="E22" s="2" t="s">
        <v>55</v>
      </c>
      <c r="F22" s="2" t="s">
        <v>56</v>
      </c>
      <c r="G22" s="4" t="n">
        <v>2</v>
      </c>
      <c r="H22" s="5" t="n">
        <v>1.42</v>
      </c>
      <c r="I22" s="6" t="n">
        <f aca="false">IF(H22="","",G22*H22)</f>
        <v>2.84</v>
      </c>
      <c r="J22" s="2" t="s">
        <v>26</v>
      </c>
    </row>
    <row r="23" customFormat="false" ht="15" hidden="false" customHeight="false" outlineLevel="0" collapsed="false">
      <c r="A23" s="2" t="s">
        <v>49</v>
      </c>
      <c r="B23" s="2" t="s">
        <v>50</v>
      </c>
      <c r="C23" s="2" t="s">
        <v>22</v>
      </c>
      <c r="D23" s="2" t="s">
        <v>23</v>
      </c>
      <c r="E23" s="2" t="s">
        <v>57</v>
      </c>
      <c r="F23" s="2" t="s">
        <v>58</v>
      </c>
      <c r="G23" s="4" t="n">
        <v>1</v>
      </c>
      <c r="H23" s="6" t="str">
        <f aca="false">IFERROR(IF(INDEX('New Components'!$E$2:$E$20,MATCH(F23,'New Components'!$A$2:$A$20,0))="","",INDEX('New Components'!$E$2:$E$20,MATCH(F23,'New Components'!$A$2:$A$20,0))),"")</f>
        <v/>
      </c>
      <c r="I23" s="6" t="str">
        <f aca="false">IF(H23="","",G23*H23)</f>
        <v/>
      </c>
      <c r="J23" s="2" t="s">
        <v>29</v>
      </c>
    </row>
    <row r="24" customFormat="false" ht="15" hidden="false" customHeight="false" outlineLevel="0" collapsed="false">
      <c r="A24" s="2" t="s">
        <v>49</v>
      </c>
      <c r="B24" s="2" t="s">
        <v>50</v>
      </c>
      <c r="C24" s="2" t="s">
        <v>22</v>
      </c>
      <c r="D24" s="2" t="s">
        <v>23</v>
      </c>
      <c r="E24" s="2" t="s">
        <v>59</v>
      </c>
      <c r="F24" s="2" t="s">
        <v>60</v>
      </c>
      <c r="G24" s="4" t="n">
        <v>1</v>
      </c>
      <c r="H24" s="5" t="n">
        <v>6</v>
      </c>
      <c r="I24" s="6" t="n">
        <f aca="false">IF(H24="","",G24*H24)</f>
        <v>6</v>
      </c>
      <c r="J24" s="2" t="s">
        <v>26</v>
      </c>
    </row>
    <row r="25" customFormat="false" ht="15" hidden="false" customHeight="false" outlineLevel="0" collapsed="false">
      <c r="A25" s="2" t="s">
        <v>49</v>
      </c>
      <c r="B25" s="2" t="s">
        <v>50</v>
      </c>
      <c r="C25" s="2" t="s">
        <v>22</v>
      </c>
      <c r="D25" s="2" t="s">
        <v>23</v>
      </c>
      <c r="E25" s="2" t="s">
        <v>34</v>
      </c>
      <c r="F25" s="2" t="s">
        <v>35</v>
      </c>
      <c r="G25" s="4" t="n">
        <v>1</v>
      </c>
      <c r="H25" s="5" t="n">
        <v>4</v>
      </c>
      <c r="I25" s="6" t="n">
        <f aca="false">IF(H25="","",G25*H25)</f>
        <v>4</v>
      </c>
      <c r="J25" s="2" t="s">
        <v>36</v>
      </c>
    </row>
    <row r="26" customFormat="false" ht="15" hidden="false" customHeight="false" outlineLevel="0" collapsed="false">
      <c r="A26" s="2" t="s">
        <v>49</v>
      </c>
      <c r="B26" s="2" t="s">
        <v>50</v>
      </c>
      <c r="C26" s="2" t="s">
        <v>22</v>
      </c>
      <c r="D26" s="2" t="s">
        <v>23</v>
      </c>
      <c r="E26" s="2" t="s">
        <v>37</v>
      </c>
      <c r="F26" s="2" t="s">
        <v>38</v>
      </c>
      <c r="G26" s="4" t="n">
        <v>1</v>
      </c>
      <c r="H26" s="5" t="n">
        <v>4.58</v>
      </c>
      <c r="I26" s="6" t="n">
        <f aca="false">IF(H26="","",G26*H26)</f>
        <v>4.58</v>
      </c>
      <c r="J26" s="2" t="s">
        <v>26</v>
      </c>
    </row>
    <row r="27" customFormat="false" ht="15" hidden="false" customHeight="false" outlineLevel="0" collapsed="false">
      <c r="A27" s="2" t="s">
        <v>49</v>
      </c>
      <c r="B27" s="2" t="s">
        <v>50</v>
      </c>
      <c r="C27" s="2" t="s">
        <v>22</v>
      </c>
      <c r="D27" s="2" t="s">
        <v>23</v>
      </c>
      <c r="E27" s="2" t="s">
        <v>39</v>
      </c>
      <c r="F27" s="2" t="s">
        <v>40</v>
      </c>
      <c r="G27" s="4" t="n">
        <v>1</v>
      </c>
      <c r="H27" s="5" t="n">
        <v>0.5</v>
      </c>
      <c r="I27" s="6" t="n">
        <f aca="false">IF(H27="","",G27*H27)</f>
        <v>0.5</v>
      </c>
      <c r="J27" s="2" t="s">
        <v>26</v>
      </c>
    </row>
    <row r="28" customFormat="false" ht="15" hidden="false" customHeight="false" outlineLevel="0" collapsed="false">
      <c r="A28" s="2" t="s">
        <v>49</v>
      </c>
      <c r="B28" s="2" t="s">
        <v>50</v>
      </c>
      <c r="C28" s="2" t="s">
        <v>22</v>
      </c>
      <c r="D28" s="2" t="s">
        <v>23</v>
      </c>
      <c r="E28" s="2" t="s">
        <v>41</v>
      </c>
      <c r="F28" s="2" t="s">
        <v>42</v>
      </c>
      <c r="G28" s="4" t="n">
        <v>1</v>
      </c>
      <c r="H28" s="5" t="n">
        <v>0.25</v>
      </c>
      <c r="I28" s="6" t="n">
        <f aca="false">IF(H28="","",G28*H28)</f>
        <v>0.25</v>
      </c>
      <c r="J28" s="2" t="s">
        <v>26</v>
      </c>
    </row>
    <row r="29" customFormat="false" ht="15" hidden="false" customHeight="false" outlineLevel="0" collapsed="false">
      <c r="A29" s="2" t="s">
        <v>49</v>
      </c>
      <c r="B29" s="2" t="s">
        <v>50</v>
      </c>
      <c r="C29" s="2" t="s">
        <v>22</v>
      </c>
      <c r="D29" s="2" t="s">
        <v>23</v>
      </c>
      <c r="E29" s="2" t="s">
        <v>43</v>
      </c>
      <c r="F29" s="2" t="s">
        <v>44</v>
      </c>
      <c r="G29" s="4" t="n">
        <v>1</v>
      </c>
      <c r="H29" s="5" t="n">
        <v>0.33</v>
      </c>
      <c r="I29" s="6" t="n">
        <f aca="false">IF(H29="","",G29*H29)</f>
        <v>0.33</v>
      </c>
      <c r="J29" s="2" t="s">
        <v>26</v>
      </c>
    </row>
    <row r="30" customFormat="false" ht="15" hidden="false" customHeight="false" outlineLevel="0" collapsed="false">
      <c r="A30" s="2" t="s">
        <v>49</v>
      </c>
      <c r="B30" s="2" t="s">
        <v>61</v>
      </c>
      <c r="C30" s="2" t="s">
        <v>62</v>
      </c>
      <c r="D30" s="2" t="s">
        <v>23</v>
      </c>
      <c r="E30" s="2" t="s">
        <v>51</v>
      </c>
      <c r="F30" s="2" t="s">
        <v>52</v>
      </c>
      <c r="G30" s="4" t="n">
        <v>1</v>
      </c>
      <c r="H30" s="5" t="n">
        <v>4</v>
      </c>
      <c r="I30" s="6" t="n">
        <f aca="false">IF(H30="","",G30*H30)</f>
        <v>4</v>
      </c>
      <c r="J30" s="2" t="s">
        <v>26</v>
      </c>
    </row>
    <row r="31" customFormat="false" ht="15" hidden="false" customHeight="false" outlineLevel="0" collapsed="false">
      <c r="A31" s="2" t="s">
        <v>49</v>
      </c>
      <c r="B31" s="2" t="s">
        <v>61</v>
      </c>
      <c r="C31" s="2" t="s">
        <v>62</v>
      </c>
      <c r="D31" s="2" t="s">
        <v>23</v>
      </c>
      <c r="E31" s="2" t="s">
        <v>53</v>
      </c>
      <c r="F31" s="2" t="s">
        <v>54</v>
      </c>
      <c r="G31" s="4" t="n">
        <v>1</v>
      </c>
      <c r="H31" s="5" t="n">
        <v>2.5</v>
      </c>
      <c r="I31" s="6" t="n">
        <f aca="false">IF(H31="","",G31*H31)</f>
        <v>2.5</v>
      </c>
      <c r="J31" s="2" t="s">
        <v>26</v>
      </c>
    </row>
    <row r="32" customFormat="false" ht="15" hidden="false" customHeight="false" outlineLevel="0" collapsed="false">
      <c r="A32" s="2" t="s">
        <v>49</v>
      </c>
      <c r="B32" s="2" t="s">
        <v>61</v>
      </c>
      <c r="C32" s="2" t="s">
        <v>62</v>
      </c>
      <c r="D32" s="2" t="s">
        <v>23</v>
      </c>
      <c r="E32" s="2" t="s">
        <v>55</v>
      </c>
      <c r="F32" s="2" t="s">
        <v>56</v>
      </c>
      <c r="G32" s="4" t="n">
        <v>2</v>
      </c>
      <c r="H32" s="5" t="n">
        <v>1.42</v>
      </c>
      <c r="I32" s="6" t="n">
        <f aca="false">IF(H32="","",G32*H32)</f>
        <v>2.84</v>
      </c>
      <c r="J32" s="2" t="s">
        <v>26</v>
      </c>
    </row>
    <row r="33" customFormat="false" ht="15" hidden="false" customHeight="false" outlineLevel="0" collapsed="false">
      <c r="A33" s="2" t="s">
        <v>49</v>
      </c>
      <c r="B33" s="2" t="s">
        <v>61</v>
      </c>
      <c r="C33" s="2" t="s">
        <v>62</v>
      </c>
      <c r="D33" s="2" t="s">
        <v>23</v>
      </c>
      <c r="E33" s="2" t="s">
        <v>57</v>
      </c>
      <c r="F33" s="2" t="s">
        <v>58</v>
      </c>
      <c r="G33" s="4" t="n">
        <v>1</v>
      </c>
      <c r="H33" s="6" t="str">
        <f aca="false">IFERROR(IF(INDEX('New Components'!$E$2:$E$20,MATCH(F33,'New Components'!$A$2:$A$20,0))="","",INDEX('New Components'!$E$2:$E$20,MATCH(F33,'New Components'!$A$2:$A$20,0))),"")</f>
        <v/>
      </c>
      <c r="I33" s="6" t="str">
        <f aca="false">IF(H33="","",G33*H33)</f>
        <v/>
      </c>
      <c r="J33" s="2" t="s">
        <v>29</v>
      </c>
    </row>
    <row r="34" customFormat="false" ht="15" hidden="false" customHeight="false" outlineLevel="0" collapsed="false">
      <c r="A34" s="2" t="s">
        <v>49</v>
      </c>
      <c r="B34" s="2" t="s">
        <v>61</v>
      </c>
      <c r="C34" s="2" t="s">
        <v>62</v>
      </c>
      <c r="D34" s="2" t="s">
        <v>23</v>
      </c>
      <c r="E34" s="2" t="s">
        <v>59</v>
      </c>
      <c r="F34" s="2" t="s">
        <v>60</v>
      </c>
      <c r="G34" s="4" t="n">
        <v>1</v>
      </c>
      <c r="H34" s="5" t="n">
        <v>6</v>
      </c>
      <c r="I34" s="6" t="n">
        <f aca="false">IF(H34="","",G34*H34)</f>
        <v>6</v>
      </c>
      <c r="J34" s="2" t="s">
        <v>26</v>
      </c>
    </row>
    <row r="35" customFormat="false" ht="15" hidden="false" customHeight="false" outlineLevel="0" collapsed="false">
      <c r="A35" s="2" t="s">
        <v>49</v>
      </c>
      <c r="B35" s="2" t="s">
        <v>61</v>
      </c>
      <c r="C35" s="2" t="s">
        <v>62</v>
      </c>
      <c r="D35" s="2" t="s">
        <v>23</v>
      </c>
      <c r="E35" s="2" t="s">
        <v>34</v>
      </c>
      <c r="F35" s="2" t="s">
        <v>35</v>
      </c>
      <c r="G35" s="4" t="n">
        <v>1</v>
      </c>
      <c r="H35" s="5" t="n">
        <v>4</v>
      </c>
      <c r="I35" s="6" t="n">
        <f aca="false">IF(H35="","",G35*H35)</f>
        <v>4</v>
      </c>
      <c r="J35" s="2" t="s">
        <v>36</v>
      </c>
    </row>
    <row r="36" customFormat="false" ht="15" hidden="false" customHeight="false" outlineLevel="0" collapsed="false">
      <c r="A36" s="2" t="s">
        <v>49</v>
      </c>
      <c r="B36" s="2" t="s">
        <v>61</v>
      </c>
      <c r="C36" s="2" t="s">
        <v>62</v>
      </c>
      <c r="D36" s="2" t="s">
        <v>23</v>
      </c>
      <c r="E36" s="2" t="s">
        <v>63</v>
      </c>
      <c r="F36" s="2" t="s">
        <v>64</v>
      </c>
      <c r="G36" s="4" t="n">
        <v>1</v>
      </c>
      <c r="H36" s="5" t="n">
        <v>12.08</v>
      </c>
      <c r="I36" s="6" t="n">
        <f aca="false">IF(H36="","",G36*H36)</f>
        <v>12.08</v>
      </c>
      <c r="J36" s="2" t="s">
        <v>26</v>
      </c>
    </row>
    <row r="37" customFormat="false" ht="15" hidden="false" customHeight="false" outlineLevel="0" collapsed="false">
      <c r="A37" s="2" t="s">
        <v>49</v>
      </c>
      <c r="B37" s="2" t="s">
        <v>61</v>
      </c>
      <c r="C37" s="2" t="s">
        <v>62</v>
      </c>
      <c r="D37" s="2" t="s">
        <v>23</v>
      </c>
      <c r="E37" s="2" t="s">
        <v>37</v>
      </c>
      <c r="F37" s="2" t="s">
        <v>38</v>
      </c>
      <c r="G37" s="4" t="n">
        <v>1</v>
      </c>
      <c r="H37" s="5" t="n">
        <v>4.58</v>
      </c>
      <c r="I37" s="6" t="n">
        <f aca="false">IF(H37="","",G37*H37)</f>
        <v>4.58</v>
      </c>
      <c r="J37" s="2" t="s">
        <v>26</v>
      </c>
    </row>
    <row r="38" customFormat="false" ht="15" hidden="false" customHeight="false" outlineLevel="0" collapsed="false">
      <c r="A38" s="2" t="s">
        <v>49</v>
      </c>
      <c r="B38" s="2" t="s">
        <v>61</v>
      </c>
      <c r="C38" s="2" t="s">
        <v>62</v>
      </c>
      <c r="D38" s="2" t="s">
        <v>23</v>
      </c>
      <c r="E38" s="2" t="s">
        <v>39</v>
      </c>
      <c r="F38" s="2" t="s">
        <v>40</v>
      </c>
      <c r="G38" s="4" t="n">
        <v>1</v>
      </c>
      <c r="H38" s="5" t="n">
        <v>0.5</v>
      </c>
      <c r="I38" s="6" t="n">
        <f aca="false">IF(H38="","",G38*H38)</f>
        <v>0.5</v>
      </c>
      <c r="J38" s="2" t="s">
        <v>26</v>
      </c>
    </row>
    <row r="39" customFormat="false" ht="15" hidden="false" customHeight="false" outlineLevel="0" collapsed="false">
      <c r="A39" s="2" t="s">
        <v>49</v>
      </c>
      <c r="B39" s="2" t="s">
        <v>61</v>
      </c>
      <c r="C39" s="2" t="s">
        <v>62</v>
      </c>
      <c r="D39" s="2" t="s">
        <v>23</v>
      </c>
      <c r="E39" s="2" t="s">
        <v>41</v>
      </c>
      <c r="F39" s="2" t="s">
        <v>42</v>
      </c>
      <c r="G39" s="4" t="n">
        <v>1</v>
      </c>
      <c r="H39" s="5" t="n">
        <v>0.25</v>
      </c>
      <c r="I39" s="6" t="n">
        <f aca="false">IF(H39="","",G39*H39)</f>
        <v>0.25</v>
      </c>
      <c r="J39" s="2" t="s">
        <v>26</v>
      </c>
    </row>
    <row r="40" customFormat="false" ht="15" hidden="false" customHeight="false" outlineLevel="0" collapsed="false">
      <c r="A40" s="2" t="s">
        <v>49</v>
      </c>
      <c r="B40" s="2" t="s">
        <v>61</v>
      </c>
      <c r="C40" s="2" t="s">
        <v>62</v>
      </c>
      <c r="D40" s="2" t="s">
        <v>23</v>
      </c>
      <c r="E40" s="2" t="s">
        <v>43</v>
      </c>
      <c r="F40" s="2" t="s">
        <v>44</v>
      </c>
      <c r="G40" s="4" t="n">
        <v>1</v>
      </c>
      <c r="H40" s="5" t="n">
        <v>0.33</v>
      </c>
      <c r="I40" s="6" t="n">
        <f aca="false">IF(H40="","",G40*H40)</f>
        <v>0.33</v>
      </c>
      <c r="J40" s="2" t="s">
        <v>26</v>
      </c>
    </row>
    <row r="41" customFormat="false" ht="15" hidden="false" customHeight="false" outlineLevel="0" collapsed="false">
      <c r="A41" s="2" t="s">
        <v>65</v>
      </c>
      <c r="B41" s="2" t="s">
        <v>66</v>
      </c>
      <c r="C41" s="2" t="s">
        <v>67</v>
      </c>
      <c r="D41" s="2" t="s">
        <v>68</v>
      </c>
      <c r="E41" s="2" t="s">
        <v>69</v>
      </c>
      <c r="F41" s="2" t="s">
        <v>70</v>
      </c>
      <c r="G41" s="4" t="n">
        <v>1</v>
      </c>
      <c r="H41" s="6" t="str">
        <f aca="false">IFERROR(IF(INDEX('New Components'!$E$2:$E$20,MATCH(F41,'New Components'!$A$2:$A$20,0))="","",INDEX('New Components'!$E$2:$E$20,MATCH(F41,'New Components'!$A$2:$A$20,0))),"")</f>
        <v/>
      </c>
      <c r="I41" s="6" t="str">
        <f aca="false">IF(H41="","",G41*H41)</f>
        <v/>
      </c>
      <c r="J41" s="2" t="s">
        <v>29</v>
      </c>
    </row>
    <row r="42" customFormat="false" ht="15" hidden="false" customHeight="false" outlineLevel="0" collapsed="false">
      <c r="A42" s="2" t="s">
        <v>65</v>
      </c>
      <c r="B42" s="2" t="s">
        <v>66</v>
      </c>
      <c r="C42" s="2" t="s">
        <v>67</v>
      </c>
      <c r="D42" s="2" t="s">
        <v>68</v>
      </c>
      <c r="E42" s="2" t="s">
        <v>71</v>
      </c>
      <c r="F42" s="2" t="s">
        <v>72</v>
      </c>
      <c r="G42" s="4" t="n">
        <v>1</v>
      </c>
      <c r="H42" s="6" t="str">
        <f aca="false">IFERROR(IF(INDEX('New Components'!$E$2:$E$20,MATCH(F42,'New Components'!$A$2:$A$20,0))="","",INDEX('New Components'!$E$2:$E$20,MATCH(F42,'New Components'!$A$2:$A$20,0))),"")</f>
        <v/>
      </c>
      <c r="I42" s="6" t="str">
        <f aca="false">IF(H42="","",G42*H42)</f>
        <v/>
      </c>
      <c r="J42" s="2" t="s">
        <v>29</v>
      </c>
    </row>
    <row r="43" customFormat="false" ht="15" hidden="false" customHeight="false" outlineLevel="0" collapsed="false">
      <c r="A43" s="2" t="s">
        <v>65</v>
      </c>
      <c r="B43" s="2" t="s">
        <v>66</v>
      </c>
      <c r="C43" s="2" t="s">
        <v>67</v>
      </c>
      <c r="D43" s="2" t="s">
        <v>68</v>
      </c>
      <c r="E43" s="2" t="s">
        <v>73</v>
      </c>
      <c r="F43" s="2" t="s">
        <v>74</v>
      </c>
      <c r="G43" s="4" t="n">
        <v>1</v>
      </c>
      <c r="H43" s="6" t="str">
        <f aca="false">IFERROR(IF(INDEX('New Components'!$E$2:$E$20,MATCH(F43,'New Components'!$A$2:$A$20,0))="","",INDEX('New Components'!$E$2:$E$20,MATCH(F43,'New Components'!$A$2:$A$20,0))),"")</f>
        <v/>
      </c>
      <c r="I43" s="6" t="str">
        <f aca="false">IF(H43="","",G43*H43)</f>
        <v/>
      </c>
      <c r="J43" s="2" t="s">
        <v>29</v>
      </c>
    </row>
    <row r="44" customFormat="false" ht="15" hidden="false" customHeight="false" outlineLevel="0" collapsed="false">
      <c r="A44" s="2" t="s">
        <v>65</v>
      </c>
      <c r="B44" s="2" t="s">
        <v>66</v>
      </c>
      <c r="C44" s="2" t="s">
        <v>67</v>
      </c>
      <c r="D44" s="2" t="s">
        <v>68</v>
      </c>
      <c r="E44" s="2" t="s">
        <v>75</v>
      </c>
      <c r="F44" s="2" t="s">
        <v>76</v>
      </c>
      <c r="G44" s="4" t="n">
        <v>1</v>
      </c>
      <c r="H44" s="6" t="str">
        <f aca="false">IFERROR(IF(INDEX('New Components'!$E$2:$E$20,MATCH(F44,'New Components'!$A$2:$A$20,0))="","",INDEX('New Components'!$E$2:$E$20,MATCH(F44,'New Components'!$A$2:$A$20,0))),"")</f>
        <v/>
      </c>
      <c r="I44" s="6" t="str">
        <f aca="false">IF(H44="","",G44*H44)</f>
        <v/>
      </c>
      <c r="J44" s="2" t="s">
        <v>29</v>
      </c>
    </row>
    <row r="45" customFormat="false" ht="15" hidden="false" customHeight="false" outlineLevel="0" collapsed="false">
      <c r="A45" s="2" t="s">
        <v>65</v>
      </c>
      <c r="B45" s="2" t="s">
        <v>66</v>
      </c>
      <c r="C45" s="2" t="s">
        <v>67</v>
      </c>
      <c r="D45" s="2" t="s">
        <v>68</v>
      </c>
      <c r="E45" s="2" t="s">
        <v>77</v>
      </c>
      <c r="F45" s="2" t="s">
        <v>78</v>
      </c>
      <c r="G45" s="4" t="n">
        <v>1</v>
      </c>
      <c r="H45" s="5" t="n">
        <v>2.83</v>
      </c>
      <c r="I45" s="6" t="n">
        <f aca="false">IF(H45="","",G45*H45)</f>
        <v>2.83</v>
      </c>
      <c r="J45" s="2" t="s">
        <v>26</v>
      </c>
    </row>
    <row r="46" customFormat="false" ht="15" hidden="false" customHeight="false" outlineLevel="0" collapsed="false">
      <c r="A46" s="2" t="s">
        <v>65</v>
      </c>
      <c r="B46" s="2" t="s">
        <v>66</v>
      </c>
      <c r="C46" s="2" t="s">
        <v>67</v>
      </c>
      <c r="D46" s="2" t="s">
        <v>68</v>
      </c>
      <c r="E46" s="2" t="s">
        <v>79</v>
      </c>
      <c r="F46" s="2" t="s">
        <v>80</v>
      </c>
      <c r="G46" s="4" t="n">
        <v>2</v>
      </c>
      <c r="H46" s="5" t="n">
        <v>0.54</v>
      </c>
      <c r="I46" s="6" t="n">
        <f aca="false">IF(H46="","",G46*H46)</f>
        <v>1.08</v>
      </c>
      <c r="J46" s="2" t="s">
        <v>26</v>
      </c>
    </row>
    <row r="47" customFormat="false" ht="15" hidden="false" customHeight="false" outlineLevel="0" collapsed="false">
      <c r="A47" s="2" t="s">
        <v>65</v>
      </c>
      <c r="B47" s="2" t="s">
        <v>66</v>
      </c>
      <c r="C47" s="2" t="s">
        <v>67</v>
      </c>
      <c r="D47" s="2" t="s">
        <v>68</v>
      </c>
      <c r="E47" s="2" t="s">
        <v>34</v>
      </c>
      <c r="F47" s="2" t="s">
        <v>35</v>
      </c>
      <c r="G47" s="4" t="n">
        <v>1</v>
      </c>
      <c r="H47" s="5" t="n">
        <v>4</v>
      </c>
      <c r="I47" s="6" t="n">
        <f aca="false">IF(H47="","",G47*H47)</f>
        <v>4</v>
      </c>
      <c r="J47" s="2" t="s">
        <v>36</v>
      </c>
    </row>
    <row r="48" customFormat="false" ht="15" hidden="false" customHeight="false" outlineLevel="0" collapsed="false">
      <c r="A48" s="2" t="s">
        <v>65</v>
      </c>
      <c r="B48" s="2" t="s">
        <v>66</v>
      </c>
      <c r="C48" s="2" t="s">
        <v>67</v>
      </c>
      <c r="D48" s="2" t="s">
        <v>68</v>
      </c>
      <c r="E48" s="2" t="s">
        <v>37</v>
      </c>
      <c r="F48" s="2" t="s">
        <v>38</v>
      </c>
      <c r="G48" s="4" t="n">
        <v>1</v>
      </c>
      <c r="H48" s="5" t="n">
        <v>4.58</v>
      </c>
      <c r="I48" s="6" t="n">
        <f aca="false">IF(H48="","",G48*H48)</f>
        <v>4.58</v>
      </c>
      <c r="J48" s="2" t="s">
        <v>26</v>
      </c>
    </row>
    <row r="49" customFormat="false" ht="15" hidden="false" customHeight="false" outlineLevel="0" collapsed="false">
      <c r="A49" s="2" t="s">
        <v>65</v>
      </c>
      <c r="B49" s="2" t="s">
        <v>66</v>
      </c>
      <c r="C49" s="2" t="s">
        <v>67</v>
      </c>
      <c r="D49" s="2" t="s">
        <v>68</v>
      </c>
      <c r="E49" s="2" t="s">
        <v>39</v>
      </c>
      <c r="F49" s="2" t="s">
        <v>40</v>
      </c>
      <c r="G49" s="4" t="n">
        <v>1</v>
      </c>
      <c r="H49" s="5" t="n">
        <v>0.5</v>
      </c>
      <c r="I49" s="6" t="n">
        <f aca="false">IF(H49="","",G49*H49)</f>
        <v>0.5</v>
      </c>
      <c r="J49" s="2" t="s">
        <v>26</v>
      </c>
    </row>
    <row r="50" customFormat="false" ht="15" hidden="false" customHeight="false" outlineLevel="0" collapsed="false">
      <c r="A50" s="2" t="s">
        <v>65</v>
      </c>
      <c r="B50" s="2" t="s">
        <v>66</v>
      </c>
      <c r="C50" s="2" t="s">
        <v>67</v>
      </c>
      <c r="D50" s="2" t="s">
        <v>68</v>
      </c>
      <c r="E50" s="2" t="s">
        <v>81</v>
      </c>
      <c r="F50" s="2" t="s">
        <v>82</v>
      </c>
      <c r="G50" s="4" t="n">
        <v>1</v>
      </c>
      <c r="H50" s="5" t="n">
        <v>0.25</v>
      </c>
      <c r="I50" s="6" t="n">
        <f aca="false">IF(H50="","",G50*H50)</f>
        <v>0.25</v>
      </c>
      <c r="J50" s="2" t="s">
        <v>26</v>
      </c>
    </row>
    <row r="51" customFormat="false" ht="15" hidden="false" customHeight="false" outlineLevel="0" collapsed="false">
      <c r="A51" s="2" t="s">
        <v>65</v>
      </c>
      <c r="B51" s="2" t="s">
        <v>66</v>
      </c>
      <c r="C51" s="2" t="s">
        <v>67</v>
      </c>
      <c r="D51" s="2" t="s">
        <v>68</v>
      </c>
      <c r="E51" s="2" t="s">
        <v>83</v>
      </c>
      <c r="F51" s="2" t="s">
        <v>84</v>
      </c>
      <c r="G51" s="4" t="n">
        <v>1</v>
      </c>
      <c r="H51" s="5" t="n">
        <v>0.33</v>
      </c>
      <c r="I51" s="6" t="n">
        <f aca="false">IF(H51="","",G51*H51)</f>
        <v>0.33</v>
      </c>
      <c r="J51" s="2" t="s">
        <v>26</v>
      </c>
    </row>
    <row r="52" customFormat="false" ht="15" hidden="false" customHeight="false" outlineLevel="0" collapsed="false">
      <c r="A52" s="2" t="s">
        <v>85</v>
      </c>
      <c r="B52" s="2" t="s">
        <v>86</v>
      </c>
      <c r="C52" s="2" t="s">
        <v>67</v>
      </c>
      <c r="D52" s="2" t="s">
        <v>23</v>
      </c>
      <c r="E52" s="2" t="s">
        <v>77</v>
      </c>
      <c r="F52" s="2" t="s">
        <v>78</v>
      </c>
      <c r="G52" s="4" t="n">
        <v>1</v>
      </c>
      <c r="H52" s="5" t="n">
        <v>2.83</v>
      </c>
      <c r="I52" s="6" t="n">
        <f aca="false">IF(H52="","",G52*H52)</f>
        <v>2.83</v>
      </c>
      <c r="J52" s="2" t="s">
        <v>26</v>
      </c>
    </row>
    <row r="53" customFormat="false" ht="15" hidden="false" customHeight="false" outlineLevel="0" collapsed="false">
      <c r="A53" s="2" t="s">
        <v>85</v>
      </c>
      <c r="B53" s="2" t="s">
        <v>86</v>
      </c>
      <c r="C53" s="2" t="s">
        <v>67</v>
      </c>
      <c r="D53" s="2" t="s">
        <v>23</v>
      </c>
      <c r="E53" s="2" t="s">
        <v>87</v>
      </c>
      <c r="F53" s="2" t="s">
        <v>88</v>
      </c>
      <c r="G53" s="4" t="n">
        <v>1</v>
      </c>
      <c r="H53" s="5" t="n">
        <v>1.5</v>
      </c>
      <c r="I53" s="6" t="n">
        <f aca="false">IF(H53="","",G53*H53)</f>
        <v>1.5</v>
      </c>
      <c r="J53" s="2" t="s">
        <v>26</v>
      </c>
    </row>
    <row r="54" customFormat="false" ht="15" hidden="false" customHeight="false" outlineLevel="0" collapsed="false">
      <c r="A54" s="2" t="s">
        <v>85</v>
      </c>
      <c r="B54" s="2" t="s">
        <v>86</v>
      </c>
      <c r="C54" s="2" t="s">
        <v>67</v>
      </c>
      <c r="D54" s="2" t="s">
        <v>23</v>
      </c>
      <c r="E54" s="2" t="s">
        <v>89</v>
      </c>
      <c r="F54" s="2" t="s">
        <v>90</v>
      </c>
      <c r="G54" s="4" t="n">
        <v>1</v>
      </c>
      <c r="H54" s="6" t="str">
        <f aca="false">IFERROR(IF(INDEX('New Components'!$E$2:$E$20,MATCH(F54,'New Components'!$A$2:$A$20,0))="","",INDEX('New Components'!$E$2:$E$20,MATCH(F54,'New Components'!$A$2:$A$20,0))),"")</f>
        <v/>
      </c>
      <c r="I54" s="6" t="str">
        <f aca="false">IF(H54="","",G54*H54)</f>
        <v/>
      </c>
      <c r="J54" s="2" t="s">
        <v>29</v>
      </c>
    </row>
    <row r="55" customFormat="false" ht="15" hidden="false" customHeight="false" outlineLevel="0" collapsed="false">
      <c r="A55" s="2" t="s">
        <v>85</v>
      </c>
      <c r="B55" s="2" t="s">
        <v>86</v>
      </c>
      <c r="C55" s="2" t="s">
        <v>67</v>
      </c>
      <c r="D55" s="2" t="s">
        <v>23</v>
      </c>
      <c r="E55" s="2" t="s">
        <v>75</v>
      </c>
      <c r="F55" s="2" t="s">
        <v>76</v>
      </c>
      <c r="G55" s="4" t="n">
        <v>1</v>
      </c>
      <c r="H55" s="6" t="str">
        <f aca="false">IFERROR(IF(INDEX('New Components'!$E$2:$E$20,MATCH(F55,'New Components'!$A$2:$A$20,0))="","",INDEX('New Components'!$E$2:$E$20,MATCH(F55,'New Components'!$A$2:$A$20,0))),"")</f>
        <v/>
      </c>
      <c r="I55" s="6" t="str">
        <f aca="false">IF(H55="","",G55*H55)</f>
        <v/>
      </c>
      <c r="J55" s="2" t="s">
        <v>29</v>
      </c>
    </row>
    <row r="56" customFormat="false" ht="15" hidden="false" customHeight="false" outlineLevel="0" collapsed="false">
      <c r="A56" s="2" t="s">
        <v>85</v>
      </c>
      <c r="B56" s="2" t="s">
        <v>86</v>
      </c>
      <c r="C56" s="2" t="s">
        <v>67</v>
      </c>
      <c r="D56" s="2" t="s">
        <v>23</v>
      </c>
      <c r="E56" s="2" t="s">
        <v>91</v>
      </c>
      <c r="F56" s="2" t="s">
        <v>92</v>
      </c>
      <c r="G56" s="4" t="n">
        <v>1</v>
      </c>
      <c r="H56" s="6" t="str">
        <f aca="false">IFERROR(IF(INDEX('New Components'!$E$2:$E$20,MATCH(F56,'New Components'!$A$2:$A$20,0))="","",INDEX('New Components'!$E$2:$E$20,MATCH(F56,'New Components'!$A$2:$A$20,0))),"")</f>
        <v/>
      </c>
      <c r="I56" s="6" t="str">
        <f aca="false">IF(H56="","",G56*H56)</f>
        <v/>
      </c>
      <c r="J56" s="2" t="s">
        <v>29</v>
      </c>
    </row>
    <row r="57" customFormat="false" ht="15" hidden="false" customHeight="false" outlineLevel="0" collapsed="false">
      <c r="A57" s="2" t="s">
        <v>85</v>
      </c>
      <c r="B57" s="2" t="s">
        <v>86</v>
      </c>
      <c r="C57" s="2" t="s">
        <v>67</v>
      </c>
      <c r="D57" s="2" t="s">
        <v>23</v>
      </c>
      <c r="E57" s="2" t="s">
        <v>93</v>
      </c>
      <c r="F57" s="2" t="s">
        <v>94</v>
      </c>
      <c r="G57" s="4" t="n">
        <v>1</v>
      </c>
      <c r="H57" s="5" t="n">
        <v>5</v>
      </c>
      <c r="I57" s="6" t="n">
        <f aca="false">IF(H57="","",G57*H57)</f>
        <v>5</v>
      </c>
      <c r="J57" s="2" t="s">
        <v>36</v>
      </c>
    </row>
    <row r="58" customFormat="false" ht="15" hidden="false" customHeight="false" outlineLevel="0" collapsed="false">
      <c r="A58" s="2" t="s">
        <v>85</v>
      </c>
      <c r="B58" s="2" t="s">
        <v>86</v>
      </c>
      <c r="C58" s="2" t="s">
        <v>67</v>
      </c>
      <c r="D58" s="2" t="s">
        <v>23</v>
      </c>
      <c r="E58" s="2" t="s">
        <v>37</v>
      </c>
      <c r="F58" s="2" t="s">
        <v>38</v>
      </c>
      <c r="G58" s="4" t="n">
        <v>1</v>
      </c>
      <c r="H58" s="5" t="n">
        <v>4.58</v>
      </c>
      <c r="I58" s="6" t="n">
        <f aca="false">IF(H58="","",G58*H58)</f>
        <v>4.58</v>
      </c>
      <c r="J58" s="2" t="s">
        <v>26</v>
      </c>
    </row>
    <row r="59" customFormat="false" ht="15" hidden="false" customHeight="false" outlineLevel="0" collapsed="false">
      <c r="A59" s="2" t="s">
        <v>85</v>
      </c>
      <c r="B59" s="2" t="s">
        <v>86</v>
      </c>
      <c r="C59" s="2" t="s">
        <v>67</v>
      </c>
      <c r="D59" s="2" t="s">
        <v>23</v>
      </c>
      <c r="E59" s="2" t="s">
        <v>39</v>
      </c>
      <c r="F59" s="2" t="s">
        <v>40</v>
      </c>
      <c r="G59" s="4" t="n">
        <v>1</v>
      </c>
      <c r="H59" s="5" t="n">
        <v>0.5</v>
      </c>
      <c r="I59" s="6" t="n">
        <f aca="false">IF(H59="","",G59*H59)</f>
        <v>0.5</v>
      </c>
      <c r="J59" s="2" t="s">
        <v>26</v>
      </c>
    </row>
    <row r="60" customFormat="false" ht="15" hidden="false" customHeight="false" outlineLevel="0" collapsed="false">
      <c r="A60" s="2" t="s">
        <v>85</v>
      </c>
      <c r="B60" s="2" t="s">
        <v>86</v>
      </c>
      <c r="C60" s="2" t="s">
        <v>67</v>
      </c>
      <c r="D60" s="2" t="s">
        <v>23</v>
      </c>
      <c r="E60" s="2" t="s">
        <v>41</v>
      </c>
      <c r="F60" s="2" t="s">
        <v>42</v>
      </c>
      <c r="G60" s="4" t="n">
        <v>1</v>
      </c>
      <c r="H60" s="5" t="n">
        <v>0.25</v>
      </c>
      <c r="I60" s="6" t="n">
        <f aca="false">IF(H60="","",G60*H60)</f>
        <v>0.25</v>
      </c>
      <c r="J60" s="2" t="s">
        <v>26</v>
      </c>
    </row>
    <row r="61" customFormat="false" ht="15" hidden="false" customHeight="false" outlineLevel="0" collapsed="false">
      <c r="A61" s="2" t="s">
        <v>85</v>
      </c>
      <c r="B61" s="2" t="s">
        <v>86</v>
      </c>
      <c r="C61" s="2" t="s">
        <v>67</v>
      </c>
      <c r="D61" s="2" t="s">
        <v>23</v>
      </c>
      <c r="E61" s="2" t="s">
        <v>43</v>
      </c>
      <c r="F61" s="2" t="s">
        <v>44</v>
      </c>
      <c r="G61" s="4" t="n">
        <v>1</v>
      </c>
      <c r="H61" s="5" t="n">
        <v>0.33</v>
      </c>
      <c r="I61" s="6" t="n">
        <f aca="false">IF(H61="","",G61*H61)</f>
        <v>0.33</v>
      </c>
      <c r="J61" s="2" t="s">
        <v>26</v>
      </c>
    </row>
    <row r="62" customFormat="false" ht="15" hidden="false" customHeight="false" outlineLevel="0" collapsed="false">
      <c r="A62" s="2" t="s">
        <v>95</v>
      </c>
      <c r="B62" s="2" t="s">
        <v>96</v>
      </c>
      <c r="C62" s="2" t="s">
        <v>67</v>
      </c>
      <c r="D62" s="2" t="s">
        <v>68</v>
      </c>
      <c r="E62" s="2" t="s">
        <v>97</v>
      </c>
      <c r="F62" s="2" t="s">
        <v>98</v>
      </c>
      <c r="G62" s="4" t="n">
        <v>1</v>
      </c>
      <c r="H62" s="6" t="str">
        <f aca="false">IFERROR(IF(INDEX('New Components'!$E$2:$E$20,MATCH(F62,'New Components'!$A$2:$A$20,0))="","",INDEX('New Components'!$E$2:$E$20,MATCH(F62,'New Components'!$A$2:$A$20,0))),"")</f>
        <v/>
      </c>
      <c r="I62" s="6" t="str">
        <f aca="false">IF(H62="","",G62*H62)</f>
        <v/>
      </c>
      <c r="J62" s="2" t="s">
        <v>29</v>
      </c>
    </row>
    <row r="63" customFormat="false" ht="15" hidden="false" customHeight="false" outlineLevel="0" collapsed="false">
      <c r="A63" s="2" t="s">
        <v>95</v>
      </c>
      <c r="B63" s="2" t="s">
        <v>96</v>
      </c>
      <c r="C63" s="2" t="s">
        <v>67</v>
      </c>
      <c r="D63" s="2" t="s">
        <v>68</v>
      </c>
      <c r="E63" s="2" t="s">
        <v>53</v>
      </c>
      <c r="F63" s="2" t="s">
        <v>54</v>
      </c>
      <c r="G63" s="4" t="n">
        <v>1</v>
      </c>
      <c r="H63" s="5" t="n">
        <v>2.5</v>
      </c>
      <c r="I63" s="6" t="n">
        <f aca="false">IF(H63="","",G63*H63)</f>
        <v>2.5</v>
      </c>
      <c r="J63" s="2" t="s">
        <v>26</v>
      </c>
    </row>
    <row r="64" customFormat="false" ht="15" hidden="false" customHeight="false" outlineLevel="0" collapsed="false">
      <c r="A64" s="2" t="s">
        <v>95</v>
      </c>
      <c r="B64" s="2" t="s">
        <v>96</v>
      </c>
      <c r="C64" s="2" t="s">
        <v>67</v>
      </c>
      <c r="D64" s="2" t="s">
        <v>68</v>
      </c>
      <c r="E64" s="2" t="s">
        <v>99</v>
      </c>
      <c r="F64" s="2" t="s">
        <v>100</v>
      </c>
      <c r="G64" s="4" t="n">
        <v>1</v>
      </c>
      <c r="H64" s="6" t="str">
        <f aca="false">IFERROR(IF(INDEX('New Components'!$E$2:$E$20,MATCH(F64,'New Components'!$A$2:$A$20,0))="","",INDEX('New Components'!$E$2:$E$20,MATCH(F64,'New Components'!$A$2:$A$20,0))),"")</f>
        <v/>
      </c>
      <c r="I64" s="6" t="str">
        <f aca="false">IF(H64="","",G64*H64)</f>
        <v/>
      </c>
      <c r="J64" s="2" t="s">
        <v>29</v>
      </c>
    </row>
    <row r="65" customFormat="false" ht="15" hidden="false" customHeight="false" outlineLevel="0" collapsed="false">
      <c r="A65" s="2" t="s">
        <v>95</v>
      </c>
      <c r="B65" s="2" t="s">
        <v>96</v>
      </c>
      <c r="C65" s="2" t="s">
        <v>67</v>
      </c>
      <c r="D65" s="2" t="s">
        <v>68</v>
      </c>
      <c r="E65" s="2" t="s">
        <v>57</v>
      </c>
      <c r="F65" s="2" t="s">
        <v>58</v>
      </c>
      <c r="G65" s="4" t="n">
        <v>1</v>
      </c>
      <c r="H65" s="6" t="str">
        <f aca="false">IFERROR(IF(INDEX('New Components'!$E$2:$E$20,MATCH(F65,'New Components'!$A$2:$A$20,0))="","",INDEX('New Components'!$E$2:$E$20,MATCH(F65,'New Components'!$A$2:$A$20,0))),"")</f>
        <v/>
      </c>
      <c r="I65" s="6" t="str">
        <f aca="false">IF(H65="","",G65*H65)</f>
        <v/>
      </c>
      <c r="J65" s="2" t="s">
        <v>29</v>
      </c>
    </row>
    <row r="66" customFormat="false" ht="15" hidden="false" customHeight="false" outlineLevel="0" collapsed="false">
      <c r="A66" s="2" t="s">
        <v>95</v>
      </c>
      <c r="B66" s="2" t="s">
        <v>96</v>
      </c>
      <c r="C66" s="2" t="s">
        <v>67</v>
      </c>
      <c r="D66" s="2" t="s">
        <v>68</v>
      </c>
      <c r="E66" s="2" t="s">
        <v>101</v>
      </c>
      <c r="F66" s="2" t="s">
        <v>102</v>
      </c>
      <c r="G66" s="4" t="n">
        <v>1</v>
      </c>
      <c r="H66" s="5" t="n">
        <v>7.23</v>
      </c>
      <c r="I66" s="6" t="n">
        <f aca="false">IF(H66="","",G66*H66)</f>
        <v>7.23</v>
      </c>
      <c r="J66" s="2" t="s">
        <v>36</v>
      </c>
    </row>
    <row r="67" customFormat="false" ht="15" hidden="false" customHeight="false" outlineLevel="0" collapsed="false">
      <c r="A67" s="2" t="s">
        <v>95</v>
      </c>
      <c r="B67" s="2" t="s">
        <v>96</v>
      </c>
      <c r="C67" s="2" t="s">
        <v>67</v>
      </c>
      <c r="D67" s="2" t="s">
        <v>68</v>
      </c>
      <c r="E67" s="2" t="s">
        <v>37</v>
      </c>
      <c r="F67" s="2" t="s">
        <v>38</v>
      </c>
      <c r="G67" s="4" t="n">
        <v>1</v>
      </c>
      <c r="H67" s="5" t="n">
        <v>4.58</v>
      </c>
      <c r="I67" s="6" t="n">
        <f aca="false">IF(H67="","",G67*H67)</f>
        <v>4.58</v>
      </c>
      <c r="J67" s="2" t="s">
        <v>26</v>
      </c>
    </row>
    <row r="68" customFormat="false" ht="15" hidden="false" customHeight="false" outlineLevel="0" collapsed="false">
      <c r="A68" s="2" t="s">
        <v>95</v>
      </c>
      <c r="B68" s="2" t="s">
        <v>96</v>
      </c>
      <c r="C68" s="2" t="s">
        <v>67</v>
      </c>
      <c r="D68" s="2" t="s">
        <v>68</v>
      </c>
      <c r="E68" s="2" t="s">
        <v>39</v>
      </c>
      <c r="F68" s="2" t="s">
        <v>40</v>
      </c>
      <c r="G68" s="4" t="n">
        <v>1</v>
      </c>
      <c r="H68" s="5" t="n">
        <v>0.5</v>
      </c>
      <c r="I68" s="6" t="n">
        <f aca="false">IF(H68="","",G68*H68)</f>
        <v>0.5</v>
      </c>
      <c r="J68" s="2" t="s">
        <v>26</v>
      </c>
    </row>
    <row r="69" customFormat="false" ht="15" hidden="false" customHeight="false" outlineLevel="0" collapsed="false">
      <c r="A69" s="2" t="s">
        <v>95</v>
      </c>
      <c r="B69" s="2" t="s">
        <v>96</v>
      </c>
      <c r="C69" s="2" t="s">
        <v>67</v>
      </c>
      <c r="D69" s="2" t="s">
        <v>68</v>
      </c>
      <c r="E69" s="2" t="s">
        <v>81</v>
      </c>
      <c r="F69" s="2" t="s">
        <v>82</v>
      </c>
      <c r="G69" s="4" t="n">
        <v>1</v>
      </c>
      <c r="H69" s="5" t="n">
        <v>0.25</v>
      </c>
      <c r="I69" s="6" t="n">
        <f aca="false">IF(H69="","",G69*H69)</f>
        <v>0.25</v>
      </c>
      <c r="J69" s="2" t="s">
        <v>26</v>
      </c>
    </row>
    <row r="70" customFormat="false" ht="15" hidden="false" customHeight="false" outlineLevel="0" collapsed="false">
      <c r="A70" s="2" t="s">
        <v>95</v>
      </c>
      <c r="B70" s="2" t="s">
        <v>96</v>
      </c>
      <c r="C70" s="2" t="s">
        <v>67</v>
      </c>
      <c r="D70" s="2" t="s">
        <v>68</v>
      </c>
      <c r="E70" s="2" t="s">
        <v>83</v>
      </c>
      <c r="F70" s="2" t="s">
        <v>84</v>
      </c>
      <c r="G70" s="4" t="n">
        <v>1</v>
      </c>
      <c r="H70" s="5" t="n">
        <v>0.33</v>
      </c>
      <c r="I70" s="6" t="n">
        <f aca="false">IF(H70="","",G70*H70)</f>
        <v>0.33</v>
      </c>
      <c r="J70" s="2" t="s">
        <v>26</v>
      </c>
    </row>
    <row r="71" customFormat="false" ht="15" hidden="false" customHeight="false" outlineLevel="0" collapsed="false">
      <c r="A71" s="2" t="s">
        <v>103</v>
      </c>
      <c r="B71" s="2" t="s">
        <v>104</v>
      </c>
      <c r="C71" s="2" t="s">
        <v>22</v>
      </c>
      <c r="D71" s="2" t="s">
        <v>105</v>
      </c>
      <c r="E71" s="2" t="s">
        <v>106</v>
      </c>
      <c r="F71" s="2" t="s">
        <v>107</v>
      </c>
      <c r="G71" s="4" t="n">
        <v>2</v>
      </c>
      <c r="H71" s="5" t="n">
        <v>4.58</v>
      </c>
      <c r="I71" s="6" t="n">
        <f aca="false">IF(H71="","",G71*H71)</f>
        <v>9.16</v>
      </c>
      <c r="J71" s="2" t="s">
        <v>26</v>
      </c>
    </row>
    <row r="72" customFormat="false" ht="15" hidden="false" customHeight="false" outlineLevel="0" collapsed="false">
      <c r="A72" s="2" t="s">
        <v>103</v>
      </c>
      <c r="B72" s="2" t="s">
        <v>104</v>
      </c>
      <c r="C72" s="2" t="s">
        <v>22</v>
      </c>
      <c r="D72" s="2" t="s">
        <v>105</v>
      </c>
      <c r="E72" s="2" t="s">
        <v>108</v>
      </c>
      <c r="F72" s="2" t="s">
        <v>109</v>
      </c>
      <c r="G72" s="4" t="n">
        <v>2</v>
      </c>
      <c r="H72" s="6" t="str">
        <f aca="false">IFERROR(IF(INDEX('New Components'!$E$2:$E$20,MATCH(F72,'New Components'!$A$2:$A$20,0))="","",INDEX('New Components'!$E$2:$E$20,MATCH(F72,'New Components'!$A$2:$A$20,0))),"")</f>
        <v/>
      </c>
      <c r="I72" s="6" t="str">
        <f aca="false">IF(H72="","",G72*H72)</f>
        <v/>
      </c>
      <c r="J72" s="2" t="s">
        <v>29</v>
      </c>
    </row>
    <row r="73" customFormat="false" ht="15" hidden="false" customHeight="false" outlineLevel="0" collapsed="false">
      <c r="A73" s="2" t="s">
        <v>103</v>
      </c>
      <c r="B73" s="2" t="s">
        <v>104</v>
      </c>
      <c r="C73" s="2" t="s">
        <v>22</v>
      </c>
      <c r="D73" s="2" t="s">
        <v>105</v>
      </c>
      <c r="E73" s="2" t="s">
        <v>93</v>
      </c>
      <c r="F73" s="2" t="s">
        <v>94</v>
      </c>
      <c r="G73" s="4" t="n">
        <v>1</v>
      </c>
      <c r="H73" s="5" t="n">
        <v>5</v>
      </c>
      <c r="I73" s="6" t="n">
        <f aca="false">IF(H73="","",G73*H73)</f>
        <v>5</v>
      </c>
      <c r="J73" s="2" t="s">
        <v>36</v>
      </c>
    </row>
    <row r="74" customFormat="false" ht="15" hidden="false" customHeight="false" outlineLevel="0" collapsed="false">
      <c r="A74" s="2" t="s">
        <v>103</v>
      </c>
      <c r="B74" s="2" t="s">
        <v>104</v>
      </c>
      <c r="C74" s="2" t="s">
        <v>22</v>
      </c>
      <c r="D74" s="2" t="s">
        <v>105</v>
      </c>
      <c r="E74" s="2" t="s">
        <v>110</v>
      </c>
      <c r="F74" s="2" t="s">
        <v>111</v>
      </c>
      <c r="G74" s="4" t="n">
        <v>1</v>
      </c>
      <c r="H74" s="5" t="n">
        <v>3.52</v>
      </c>
      <c r="I74" s="6" t="n">
        <f aca="false">IF(H74="","",G74*H74)</f>
        <v>3.52</v>
      </c>
      <c r="J74" s="2" t="s">
        <v>36</v>
      </c>
    </row>
    <row r="75" customFormat="false" ht="15" hidden="false" customHeight="false" outlineLevel="0" collapsed="false">
      <c r="A75" s="2" t="s">
        <v>103</v>
      </c>
      <c r="B75" s="2" t="s">
        <v>104</v>
      </c>
      <c r="C75" s="2" t="s">
        <v>22</v>
      </c>
      <c r="D75" s="2" t="s">
        <v>105</v>
      </c>
      <c r="E75" s="2" t="s">
        <v>101</v>
      </c>
      <c r="F75" s="2" t="s">
        <v>102</v>
      </c>
      <c r="G75" s="4" t="n">
        <v>1</v>
      </c>
      <c r="H75" s="5" t="n">
        <v>7.23</v>
      </c>
      <c r="I75" s="6" t="n">
        <f aca="false">IF(H75="","",G75*H75)</f>
        <v>7.23</v>
      </c>
      <c r="J75" s="2" t="s">
        <v>36</v>
      </c>
    </row>
    <row r="76" customFormat="false" ht="15" hidden="false" customHeight="false" outlineLevel="0" collapsed="false">
      <c r="A76" s="2" t="s">
        <v>103</v>
      </c>
      <c r="B76" s="2" t="s">
        <v>104</v>
      </c>
      <c r="C76" s="2" t="s">
        <v>22</v>
      </c>
      <c r="D76" s="2" t="s">
        <v>105</v>
      </c>
      <c r="E76" s="2" t="s">
        <v>112</v>
      </c>
      <c r="F76" s="2" t="s">
        <v>113</v>
      </c>
      <c r="G76" s="4" t="n">
        <v>1</v>
      </c>
      <c r="H76" s="6" t="str">
        <f aca="false">IFERROR(IF(INDEX('New Components'!$E$2:$E$20,MATCH(F76,'New Components'!$A$2:$A$20,0))="","",INDEX('New Components'!$E$2:$E$20,MATCH(F76,'New Components'!$A$2:$A$20,0))),"")</f>
        <v/>
      </c>
      <c r="I76" s="6" t="str">
        <f aca="false">IF(H76="","",G76*H76)</f>
        <v/>
      </c>
      <c r="J76" s="2" t="s">
        <v>114</v>
      </c>
    </row>
    <row r="77" customFormat="false" ht="15" hidden="false" customHeight="false" outlineLevel="0" collapsed="false">
      <c r="A77" s="2" t="s">
        <v>103</v>
      </c>
      <c r="B77" s="2" t="s">
        <v>104</v>
      </c>
      <c r="C77" s="2" t="s">
        <v>22</v>
      </c>
      <c r="D77" s="2" t="s">
        <v>105</v>
      </c>
      <c r="E77" s="2" t="s">
        <v>39</v>
      </c>
      <c r="F77" s="2" t="s">
        <v>40</v>
      </c>
      <c r="G77" s="4" t="n">
        <v>1</v>
      </c>
      <c r="H77" s="5" t="n">
        <v>0.5</v>
      </c>
      <c r="I77" s="6" t="n">
        <f aca="false">IF(H77="","",G77*H77)</f>
        <v>0.5</v>
      </c>
      <c r="J77" s="2" t="s">
        <v>26</v>
      </c>
    </row>
    <row r="78" customFormat="false" ht="15" hidden="false" customHeight="false" outlineLevel="0" collapsed="false">
      <c r="A78" s="2" t="s">
        <v>103</v>
      </c>
      <c r="B78" s="2" t="s">
        <v>104</v>
      </c>
      <c r="C78" s="2" t="s">
        <v>22</v>
      </c>
      <c r="D78" s="2" t="s">
        <v>105</v>
      </c>
      <c r="E78" s="2" t="s">
        <v>81</v>
      </c>
      <c r="F78" s="2" t="s">
        <v>82</v>
      </c>
      <c r="G78" s="4" t="n">
        <v>1</v>
      </c>
      <c r="H78" s="5" t="n">
        <v>0.25</v>
      </c>
      <c r="I78" s="6" t="n">
        <f aca="false">IF(H78="","",G78*H78)</f>
        <v>0.25</v>
      </c>
      <c r="J78" s="2" t="s">
        <v>26</v>
      </c>
    </row>
    <row r="79" customFormat="false" ht="15" hidden="false" customHeight="false" outlineLevel="0" collapsed="false">
      <c r="A79" s="2" t="s">
        <v>103</v>
      </c>
      <c r="B79" s="2" t="s">
        <v>104</v>
      </c>
      <c r="C79" s="2" t="s">
        <v>22</v>
      </c>
      <c r="D79" s="2" t="s">
        <v>105</v>
      </c>
      <c r="E79" s="2" t="s">
        <v>83</v>
      </c>
      <c r="F79" s="2" t="s">
        <v>84</v>
      </c>
      <c r="G79" s="4" t="n">
        <v>1</v>
      </c>
      <c r="H79" s="5" t="n">
        <v>0.33</v>
      </c>
      <c r="I79" s="6" t="n">
        <f aca="false">IF(H79="","",G79*H79)</f>
        <v>0.33</v>
      </c>
      <c r="J79" s="2" t="s">
        <v>26</v>
      </c>
    </row>
    <row r="80" customFormat="false" ht="15" hidden="false" customHeight="false" outlineLevel="0" collapsed="false">
      <c r="A80" s="2" t="s">
        <v>103</v>
      </c>
      <c r="B80" s="2" t="s">
        <v>115</v>
      </c>
      <c r="C80" s="2" t="s">
        <v>116</v>
      </c>
      <c r="D80" s="2" t="s">
        <v>105</v>
      </c>
      <c r="E80" s="2" t="s">
        <v>106</v>
      </c>
      <c r="F80" s="2" t="s">
        <v>107</v>
      </c>
      <c r="G80" s="4" t="n">
        <v>2</v>
      </c>
      <c r="H80" s="5" t="n">
        <v>4.58</v>
      </c>
      <c r="I80" s="6" t="n">
        <f aca="false">IF(H80="","",G80*H80)</f>
        <v>9.16</v>
      </c>
      <c r="J80" s="2" t="s">
        <v>26</v>
      </c>
    </row>
    <row r="81" customFormat="false" ht="15" hidden="false" customHeight="false" outlineLevel="0" collapsed="false">
      <c r="A81" s="2" t="s">
        <v>103</v>
      </c>
      <c r="B81" s="2" t="s">
        <v>115</v>
      </c>
      <c r="C81" s="2" t="s">
        <v>116</v>
      </c>
      <c r="D81" s="2" t="s">
        <v>105</v>
      </c>
      <c r="E81" s="2" t="s">
        <v>93</v>
      </c>
      <c r="F81" s="2" t="s">
        <v>94</v>
      </c>
      <c r="G81" s="4" t="n">
        <v>1</v>
      </c>
      <c r="H81" s="5" t="n">
        <v>5</v>
      </c>
      <c r="I81" s="6" t="n">
        <f aca="false">IF(H81="","",G81*H81)</f>
        <v>5</v>
      </c>
      <c r="J81" s="2" t="s">
        <v>36</v>
      </c>
    </row>
    <row r="82" customFormat="false" ht="15" hidden="false" customHeight="false" outlineLevel="0" collapsed="false">
      <c r="A82" s="2" t="s">
        <v>103</v>
      </c>
      <c r="B82" s="2" t="s">
        <v>115</v>
      </c>
      <c r="C82" s="2" t="s">
        <v>116</v>
      </c>
      <c r="D82" s="2" t="s">
        <v>105</v>
      </c>
      <c r="E82" s="2" t="s">
        <v>110</v>
      </c>
      <c r="F82" s="2" t="s">
        <v>111</v>
      </c>
      <c r="G82" s="4" t="n">
        <v>1</v>
      </c>
      <c r="H82" s="5" t="n">
        <v>3.52</v>
      </c>
      <c r="I82" s="6" t="n">
        <f aca="false">IF(H82="","",G82*H82)</f>
        <v>3.52</v>
      </c>
      <c r="J82" s="2" t="s">
        <v>36</v>
      </c>
    </row>
    <row r="83" customFormat="false" ht="15" hidden="false" customHeight="false" outlineLevel="0" collapsed="false">
      <c r="A83" s="2" t="s">
        <v>103</v>
      </c>
      <c r="B83" s="2" t="s">
        <v>115</v>
      </c>
      <c r="C83" s="2" t="s">
        <v>116</v>
      </c>
      <c r="D83" s="2" t="s">
        <v>105</v>
      </c>
      <c r="E83" s="2" t="s">
        <v>101</v>
      </c>
      <c r="F83" s="2" t="s">
        <v>102</v>
      </c>
      <c r="G83" s="4" t="n">
        <v>1</v>
      </c>
      <c r="H83" s="5" t="n">
        <v>7.23</v>
      </c>
      <c r="I83" s="6" t="n">
        <f aca="false">IF(H83="","",G83*H83)</f>
        <v>7.23</v>
      </c>
      <c r="J83" s="2" t="s">
        <v>36</v>
      </c>
    </row>
    <row r="84" customFormat="false" ht="15" hidden="false" customHeight="false" outlineLevel="0" collapsed="false">
      <c r="A84" s="2" t="s">
        <v>103</v>
      </c>
      <c r="B84" s="2" t="s">
        <v>115</v>
      </c>
      <c r="C84" s="2" t="s">
        <v>116</v>
      </c>
      <c r="D84" s="2" t="s">
        <v>105</v>
      </c>
      <c r="E84" s="2" t="s">
        <v>117</v>
      </c>
      <c r="F84" s="2" t="s">
        <v>118</v>
      </c>
      <c r="G84" s="4" t="n">
        <v>2</v>
      </c>
      <c r="H84" s="6" t="str">
        <f aca="false">IFERROR(IF(INDEX('New Components'!$E$2:$E$20,MATCH(F84,'New Components'!$A$2:$A$20,0))="","",INDEX('New Components'!$E$2:$E$20,MATCH(F84,'New Components'!$A$2:$A$20,0))),"")</f>
        <v/>
      </c>
      <c r="I84" s="6" t="str">
        <f aca="false">IF(H84="","",G84*H84)</f>
        <v/>
      </c>
      <c r="J84" s="2" t="s">
        <v>29</v>
      </c>
    </row>
    <row r="85" customFormat="false" ht="15" hidden="false" customHeight="false" outlineLevel="0" collapsed="false">
      <c r="A85" s="2" t="s">
        <v>103</v>
      </c>
      <c r="B85" s="2" t="s">
        <v>115</v>
      </c>
      <c r="C85" s="2" t="s">
        <v>116</v>
      </c>
      <c r="D85" s="2" t="s">
        <v>105</v>
      </c>
      <c r="E85" s="2" t="s">
        <v>112</v>
      </c>
      <c r="F85" s="2" t="s">
        <v>113</v>
      </c>
      <c r="G85" s="4" t="n">
        <v>1</v>
      </c>
      <c r="H85" s="6" t="str">
        <f aca="false">IFERROR(IF(INDEX('New Components'!$E$2:$E$20,MATCH(F85,'New Components'!$A$2:$A$20,0))="","",INDEX('New Components'!$E$2:$E$20,MATCH(F85,'New Components'!$A$2:$A$20,0))),"")</f>
        <v/>
      </c>
      <c r="I85" s="6" t="str">
        <f aca="false">IF(H85="","",G85*H85)</f>
        <v/>
      </c>
      <c r="J85" s="2" t="s">
        <v>114</v>
      </c>
    </row>
    <row r="86" customFormat="false" ht="15" hidden="false" customHeight="false" outlineLevel="0" collapsed="false">
      <c r="A86" s="2" t="s">
        <v>103</v>
      </c>
      <c r="B86" s="2" t="s">
        <v>115</v>
      </c>
      <c r="C86" s="2" t="s">
        <v>116</v>
      </c>
      <c r="D86" s="2" t="s">
        <v>105</v>
      </c>
      <c r="E86" s="2" t="s">
        <v>39</v>
      </c>
      <c r="F86" s="2" t="s">
        <v>40</v>
      </c>
      <c r="G86" s="4" t="n">
        <v>1</v>
      </c>
      <c r="H86" s="5" t="n">
        <v>0.5</v>
      </c>
      <c r="I86" s="6" t="n">
        <f aca="false">IF(H86="","",G86*H86)</f>
        <v>0.5</v>
      </c>
      <c r="J86" s="2" t="s">
        <v>26</v>
      </c>
    </row>
    <row r="87" customFormat="false" ht="15" hidden="false" customHeight="false" outlineLevel="0" collapsed="false">
      <c r="A87" s="2" t="s">
        <v>103</v>
      </c>
      <c r="B87" s="2" t="s">
        <v>115</v>
      </c>
      <c r="C87" s="2" t="s">
        <v>116</v>
      </c>
      <c r="D87" s="2" t="s">
        <v>105</v>
      </c>
      <c r="E87" s="2" t="s">
        <v>81</v>
      </c>
      <c r="F87" s="2" t="s">
        <v>82</v>
      </c>
      <c r="G87" s="4" t="n">
        <v>1</v>
      </c>
      <c r="H87" s="5" t="n">
        <v>0.25</v>
      </c>
      <c r="I87" s="6" t="n">
        <f aca="false">IF(H87="","",G87*H87)</f>
        <v>0.25</v>
      </c>
      <c r="J87" s="2" t="s">
        <v>26</v>
      </c>
    </row>
    <row r="88" customFormat="false" ht="15" hidden="false" customHeight="false" outlineLevel="0" collapsed="false">
      <c r="A88" s="2" t="s">
        <v>103</v>
      </c>
      <c r="B88" s="2" t="s">
        <v>115</v>
      </c>
      <c r="C88" s="2" t="s">
        <v>116</v>
      </c>
      <c r="D88" s="2" t="s">
        <v>105</v>
      </c>
      <c r="E88" s="2" t="s">
        <v>83</v>
      </c>
      <c r="F88" s="2" t="s">
        <v>84</v>
      </c>
      <c r="G88" s="4" t="n">
        <v>1</v>
      </c>
      <c r="H88" s="5" t="n">
        <v>0.33</v>
      </c>
      <c r="I88" s="6" t="n">
        <f aca="false">IF(H88="","",G88*H88)</f>
        <v>0.33</v>
      </c>
      <c r="J88" s="2" t="s">
        <v>26</v>
      </c>
    </row>
    <row r="89" customFormat="false" ht="15" hidden="false" customHeight="false" outlineLevel="0" collapsed="false">
      <c r="A89" s="2" t="s">
        <v>119</v>
      </c>
      <c r="B89" s="2" t="s">
        <v>120</v>
      </c>
      <c r="C89" s="2" t="s">
        <v>22</v>
      </c>
      <c r="D89" s="2" t="s">
        <v>121</v>
      </c>
      <c r="E89" s="2" t="s">
        <v>122</v>
      </c>
      <c r="F89" s="2" t="s">
        <v>123</v>
      </c>
      <c r="G89" s="4" t="n">
        <v>1</v>
      </c>
      <c r="H89" s="5" t="n">
        <v>3.1</v>
      </c>
      <c r="I89" s="6" t="n">
        <f aca="false">IF(H89="","",G89*H89)</f>
        <v>3.1</v>
      </c>
      <c r="J89" s="2" t="s">
        <v>26</v>
      </c>
    </row>
    <row r="90" customFormat="false" ht="15" hidden="false" customHeight="false" outlineLevel="0" collapsed="false">
      <c r="A90" s="2" t="s">
        <v>119</v>
      </c>
      <c r="B90" s="2" t="s">
        <v>120</v>
      </c>
      <c r="C90" s="2" t="s">
        <v>22</v>
      </c>
      <c r="D90" s="2" t="s">
        <v>121</v>
      </c>
      <c r="E90" s="2" t="s">
        <v>124</v>
      </c>
      <c r="F90" s="2" t="s">
        <v>125</v>
      </c>
      <c r="G90" s="4" t="n">
        <v>1</v>
      </c>
      <c r="H90" s="5" t="n">
        <v>1.42</v>
      </c>
      <c r="I90" s="6" t="n">
        <f aca="false">IF(H90="","",G90*H90)</f>
        <v>1.42</v>
      </c>
      <c r="J90" s="2" t="s">
        <v>26</v>
      </c>
    </row>
    <row r="91" customFormat="false" ht="15" hidden="false" customHeight="false" outlineLevel="0" collapsed="false">
      <c r="A91" s="2" t="s">
        <v>119</v>
      </c>
      <c r="B91" s="2" t="s">
        <v>120</v>
      </c>
      <c r="C91" s="2" t="s">
        <v>22</v>
      </c>
      <c r="D91" s="2" t="s">
        <v>121</v>
      </c>
      <c r="E91" s="2" t="s">
        <v>106</v>
      </c>
      <c r="F91" s="2" t="s">
        <v>107</v>
      </c>
      <c r="G91" s="4" t="n">
        <v>1</v>
      </c>
      <c r="H91" s="5" t="n">
        <v>4.58</v>
      </c>
      <c r="I91" s="6" t="n">
        <f aca="false">IF(H91="","",G91*H91)</f>
        <v>4.58</v>
      </c>
      <c r="J91" s="2" t="s">
        <v>26</v>
      </c>
    </row>
    <row r="92" customFormat="false" ht="15" hidden="false" customHeight="false" outlineLevel="0" collapsed="false">
      <c r="A92" s="2" t="s">
        <v>119</v>
      </c>
      <c r="B92" s="2" t="s">
        <v>120</v>
      </c>
      <c r="C92" s="2" t="s">
        <v>22</v>
      </c>
      <c r="D92" s="2" t="s">
        <v>121</v>
      </c>
      <c r="E92" s="2" t="s">
        <v>34</v>
      </c>
      <c r="F92" s="2" t="s">
        <v>35</v>
      </c>
      <c r="G92" s="4" t="n">
        <v>1</v>
      </c>
      <c r="H92" s="5" t="n">
        <v>4</v>
      </c>
      <c r="I92" s="6" t="n">
        <f aca="false">IF(H92="","",G92*H92)</f>
        <v>4</v>
      </c>
      <c r="J92" s="2" t="s">
        <v>36</v>
      </c>
    </row>
    <row r="93" customFormat="false" ht="15" hidden="false" customHeight="false" outlineLevel="0" collapsed="false">
      <c r="A93" s="2" t="s">
        <v>119</v>
      </c>
      <c r="B93" s="2" t="s">
        <v>120</v>
      </c>
      <c r="C93" s="2" t="s">
        <v>22</v>
      </c>
      <c r="D93" s="2" t="s">
        <v>121</v>
      </c>
      <c r="E93" s="2" t="s">
        <v>126</v>
      </c>
      <c r="F93" s="2" t="s">
        <v>127</v>
      </c>
      <c r="G93" s="4" t="n">
        <v>1</v>
      </c>
      <c r="H93" s="5" t="n">
        <v>1</v>
      </c>
      <c r="I93" s="6" t="n">
        <f aca="false">IF(H93="","",G93*H93)</f>
        <v>1</v>
      </c>
      <c r="J93" s="2" t="s">
        <v>26</v>
      </c>
    </row>
    <row r="94" customFormat="false" ht="15" hidden="false" customHeight="false" outlineLevel="0" collapsed="false">
      <c r="A94" s="2" t="s">
        <v>119</v>
      </c>
      <c r="B94" s="2" t="s">
        <v>120</v>
      </c>
      <c r="C94" s="2" t="s">
        <v>22</v>
      </c>
      <c r="D94" s="2" t="s">
        <v>121</v>
      </c>
      <c r="E94" s="2" t="s">
        <v>39</v>
      </c>
      <c r="F94" s="2" t="s">
        <v>40</v>
      </c>
      <c r="G94" s="4" t="n">
        <v>1</v>
      </c>
      <c r="H94" s="5" t="n">
        <v>0.5</v>
      </c>
      <c r="I94" s="6" t="n">
        <f aca="false">IF(H94="","",G94*H94)</f>
        <v>0.5</v>
      </c>
      <c r="J94" s="2" t="s">
        <v>26</v>
      </c>
    </row>
    <row r="95" customFormat="false" ht="15" hidden="false" customHeight="false" outlineLevel="0" collapsed="false">
      <c r="A95" s="2" t="s">
        <v>119</v>
      </c>
      <c r="B95" s="2" t="s">
        <v>120</v>
      </c>
      <c r="C95" s="2" t="s">
        <v>22</v>
      </c>
      <c r="D95" s="2" t="s">
        <v>121</v>
      </c>
      <c r="E95" s="2" t="s">
        <v>41</v>
      </c>
      <c r="F95" s="2" t="s">
        <v>42</v>
      </c>
      <c r="G95" s="4" t="n">
        <v>1</v>
      </c>
      <c r="H95" s="5" t="n">
        <v>0.25</v>
      </c>
      <c r="I95" s="6" t="n">
        <f aca="false">IF(H95="","",G95*H95)</f>
        <v>0.25</v>
      </c>
      <c r="J95" s="2" t="s">
        <v>26</v>
      </c>
    </row>
    <row r="96" customFormat="false" ht="15" hidden="false" customHeight="false" outlineLevel="0" collapsed="false">
      <c r="A96" s="2" t="s">
        <v>119</v>
      </c>
      <c r="B96" s="2" t="s">
        <v>120</v>
      </c>
      <c r="C96" s="2" t="s">
        <v>22</v>
      </c>
      <c r="D96" s="2" t="s">
        <v>121</v>
      </c>
      <c r="E96" s="2" t="s">
        <v>43</v>
      </c>
      <c r="F96" s="2" t="s">
        <v>44</v>
      </c>
      <c r="G96" s="4" t="n">
        <v>1</v>
      </c>
      <c r="H96" s="5" t="n">
        <v>0.33</v>
      </c>
      <c r="I96" s="6" t="n">
        <f aca="false">IF(H96="","",G96*H96)</f>
        <v>0.33</v>
      </c>
      <c r="J96" s="2" t="s">
        <v>26</v>
      </c>
    </row>
    <row r="97" customFormat="false" ht="15" hidden="false" customHeight="false" outlineLevel="0" collapsed="false">
      <c r="A97" s="2" t="s">
        <v>119</v>
      </c>
      <c r="B97" s="2" t="s">
        <v>128</v>
      </c>
      <c r="C97" s="2" t="s">
        <v>129</v>
      </c>
      <c r="D97" s="2" t="s">
        <v>121</v>
      </c>
      <c r="E97" s="2" t="s">
        <v>124</v>
      </c>
      <c r="F97" s="2" t="s">
        <v>125</v>
      </c>
      <c r="G97" s="4" t="n">
        <v>1</v>
      </c>
      <c r="H97" s="5" t="n">
        <v>1.42</v>
      </c>
      <c r="I97" s="6" t="n">
        <f aca="false">IF(H97="","",G97*H97)</f>
        <v>1.42</v>
      </c>
      <c r="J97" s="2" t="s">
        <v>26</v>
      </c>
    </row>
    <row r="98" customFormat="false" ht="15" hidden="false" customHeight="false" outlineLevel="0" collapsed="false">
      <c r="A98" s="2" t="s">
        <v>119</v>
      </c>
      <c r="B98" s="2" t="s">
        <v>128</v>
      </c>
      <c r="C98" s="2" t="s">
        <v>129</v>
      </c>
      <c r="D98" s="2" t="s">
        <v>121</v>
      </c>
      <c r="E98" s="2" t="s">
        <v>106</v>
      </c>
      <c r="F98" s="2" t="s">
        <v>107</v>
      </c>
      <c r="G98" s="4" t="n">
        <v>1</v>
      </c>
      <c r="H98" s="5" t="n">
        <v>4.58</v>
      </c>
      <c r="I98" s="6" t="n">
        <f aca="false">IF(H98="","",G98*H98)</f>
        <v>4.58</v>
      </c>
      <c r="J98" s="2" t="s">
        <v>26</v>
      </c>
    </row>
    <row r="99" customFormat="false" ht="15" hidden="false" customHeight="false" outlineLevel="0" collapsed="false">
      <c r="A99" s="2" t="s">
        <v>119</v>
      </c>
      <c r="B99" s="2" t="s">
        <v>128</v>
      </c>
      <c r="C99" s="2" t="s">
        <v>129</v>
      </c>
      <c r="D99" s="2" t="s">
        <v>121</v>
      </c>
      <c r="E99" s="2" t="s">
        <v>34</v>
      </c>
      <c r="F99" s="2" t="s">
        <v>35</v>
      </c>
      <c r="G99" s="4" t="n">
        <v>1</v>
      </c>
      <c r="H99" s="5" t="n">
        <v>4</v>
      </c>
      <c r="I99" s="6" t="n">
        <f aca="false">IF(H99="","",G99*H99)</f>
        <v>4</v>
      </c>
      <c r="J99" s="2" t="s">
        <v>36</v>
      </c>
    </row>
    <row r="100" customFormat="false" ht="15" hidden="false" customHeight="false" outlineLevel="0" collapsed="false">
      <c r="A100" s="2" t="s">
        <v>119</v>
      </c>
      <c r="B100" s="2" t="s">
        <v>128</v>
      </c>
      <c r="C100" s="2" t="s">
        <v>129</v>
      </c>
      <c r="D100" s="2" t="s">
        <v>121</v>
      </c>
      <c r="E100" s="2" t="s">
        <v>130</v>
      </c>
      <c r="F100" s="2" t="s">
        <v>131</v>
      </c>
      <c r="G100" s="4" t="n">
        <v>1</v>
      </c>
      <c r="H100" s="6" t="str">
        <f aca="false">IFERROR(IF(INDEX('New Components'!$E$2:$E$20,MATCH(F100,'New Components'!$A$2:$A$20,0))="","",INDEX('New Components'!$E$2:$E$20,MATCH(F100,'New Components'!$A$2:$A$20,0))),"")</f>
        <v/>
      </c>
      <c r="I100" s="6" t="str">
        <f aca="false">IF(H100="","",G100*H100)</f>
        <v/>
      </c>
      <c r="J100" s="2" t="s">
        <v>29</v>
      </c>
    </row>
    <row r="101" customFormat="false" ht="15" hidden="false" customHeight="false" outlineLevel="0" collapsed="false">
      <c r="A101" s="2" t="s">
        <v>119</v>
      </c>
      <c r="B101" s="2" t="s">
        <v>128</v>
      </c>
      <c r="C101" s="2" t="s">
        <v>129</v>
      </c>
      <c r="D101" s="2" t="s">
        <v>121</v>
      </c>
      <c r="E101" s="2" t="s">
        <v>126</v>
      </c>
      <c r="F101" s="2" t="s">
        <v>127</v>
      </c>
      <c r="G101" s="4" t="n">
        <v>1</v>
      </c>
      <c r="H101" s="5" t="n">
        <v>1</v>
      </c>
      <c r="I101" s="6" t="n">
        <f aca="false">IF(H101="","",G101*H101)</f>
        <v>1</v>
      </c>
      <c r="J101" s="2" t="s">
        <v>26</v>
      </c>
    </row>
    <row r="102" customFormat="false" ht="15" hidden="false" customHeight="false" outlineLevel="0" collapsed="false">
      <c r="A102" s="2" t="s">
        <v>119</v>
      </c>
      <c r="B102" s="2" t="s">
        <v>128</v>
      </c>
      <c r="C102" s="2" t="s">
        <v>129</v>
      </c>
      <c r="D102" s="2" t="s">
        <v>121</v>
      </c>
      <c r="E102" s="2" t="s">
        <v>39</v>
      </c>
      <c r="F102" s="2" t="s">
        <v>40</v>
      </c>
      <c r="G102" s="4" t="n">
        <v>1</v>
      </c>
      <c r="H102" s="5" t="n">
        <v>0.5</v>
      </c>
      <c r="I102" s="6" t="n">
        <f aca="false">IF(H102="","",G102*H102)</f>
        <v>0.5</v>
      </c>
      <c r="J102" s="2" t="s">
        <v>26</v>
      </c>
    </row>
    <row r="103" customFormat="false" ht="15" hidden="false" customHeight="false" outlineLevel="0" collapsed="false">
      <c r="A103" s="2" t="s">
        <v>119</v>
      </c>
      <c r="B103" s="2" t="s">
        <v>128</v>
      </c>
      <c r="C103" s="2" t="s">
        <v>129</v>
      </c>
      <c r="D103" s="2" t="s">
        <v>121</v>
      </c>
      <c r="E103" s="2" t="s">
        <v>41</v>
      </c>
      <c r="F103" s="2" t="s">
        <v>42</v>
      </c>
      <c r="G103" s="4" t="n">
        <v>1</v>
      </c>
      <c r="H103" s="5" t="n">
        <v>0.25</v>
      </c>
      <c r="I103" s="6" t="n">
        <f aca="false">IF(H103="","",G103*H103)</f>
        <v>0.25</v>
      </c>
      <c r="J103" s="2" t="s">
        <v>26</v>
      </c>
    </row>
    <row r="104" customFormat="false" ht="15" hidden="false" customHeight="false" outlineLevel="0" collapsed="false">
      <c r="A104" s="2" t="s">
        <v>119</v>
      </c>
      <c r="B104" s="2" t="s">
        <v>128</v>
      </c>
      <c r="C104" s="2" t="s">
        <v>129</v>
      </c>
      <c r="D104" s="2" t="s">
        <v>121</v>
      </c>
      <c r="E104" s="2" t="s">
        <v>43</v>
      </c>
      <c r="F104" s="2" t="s">
        <v>44</v>
      </c>
      <c r="G104" s="4" t="n">
        <v>1</v>
      </c>
      <c r="H104" s="5" t="n">
        <v>0.33</v>
      </c>
      <c r="I104" s="6" t="n">
        <f aca="false">IF(H104="","",G104*H104)</f>
        <v>0.33</v>
      </c>
      <c r="J104" s="2" t="s">
        <v>26</v>
      </c>
    </row>
    <row r="105" customFormat="false" ht="15" hidden="false" customHeight="false" outlineLevel="0" collapsed="false">
      <c r="A105" s="2" t="s">
        <v>132</v>
      </c>
      <c r="B105" s="2" t="s">
        <v>133</v>
      </c>
      <c r="C105" s="2" t="s">
        <v>67</v>
      </c>
      <c r="D105" s="2" t="s">
        <v>105</v>
      </c>
      <c r="E105" s="2" t="s">
        <v>101</v>
      </c>
      <c r="F105" s="2" t="s">
        <v>102</v>
      </c>
      <c r="G105" s="4" t="n">
        <v>1</v>
      </c>
      <c r="H105" s="5" t="n">
        <v>7.23</v>
      </c>
      <c r="I105" s="6" t="n">
        <f aca="false">IF(H105="","",G105*H105)</f>
        <v>7.23</v>
      </c>
      <c r="J105" s="2" t="s">
        <v>36</v>
      </c>
    </row>
    <row r="106" customFormat="false" ht="15" hidden="false" customHeight="false" outlineLevel="0" collapsed="false">
      <c r="A106" s="2" t="s">
        <v>132</v>
      </c>
      <c r="B106" s="2" t="s">
        <v>133</v>
      </c>
      <c r="C106" s="2" t="s">
        <v>67</v>
      </c>
      <c r="D106" s="2" t="s">
        <v>105</v>
      </c>
      <c r="E106" s="2" t="s">
        <v>93</v>
      </c>
      <c r="F106" s="2" t="s">
        <v>94</v>
      </c>
      <c r="G106" s="4" t="n">
        <v>1</v>
      </c>
      <c r="H106" s="5" t="n">
        <v>5</v>
      </c>
      <c r="I106" s="6" t="n">
        <f aca="false">IF(H106="","",G106*H106)</f>
        <v>5</v>
      </c>
      <c r="J106" s="2" t="s">
        <v>36</v>
      </c>
    </row>
    <row r="107" customFormat="false" ht="15" hidden="false" customHeight="false" outlineLevel="0" collapsed="false">
      <c r="A107" s="2" t="s">
        <v>132</v>
      </c>
      <c r="B107" s="2" t="s">
        <v>133</v>
      </c>
      <c r="C107" s="2" t="s">
        <v>67</v>
      </c>
      <c r="D107" s="2" t="s">
        <v>105</v>
      </c>
      <c r="E107" s="2" t="s">
        <v>134</v>
      </c>
      <c r="F107" s="2" t="s">
        <v>135</v>
      </c>
      <c r="G107" s="4" t="n">
        <v>1</v>
      </c>
      <c r="H107" s="5" t="n">
        <v>5</v>
      </c>
      <c r="I107" s="6" t="n">
        <f aca="false">IF(H107="","",G107*H107)</f>
        <v>5</v>
      </c>
      <c r="J107" s="2" t="s">
        <v>26</v>
      </c>
    </row>
    <row r="108" customFormat="false" ht="15" hidden="false" customHeight="false" outlineLevel="0" collapsed="false">
      <c r="A108" s="2" t="s">
        <v>132</v>
      </c>
      <c r="B108" s="2" t="s">
        <v>133</v>
      </c>
      <c r="C108" s="2" t="s">
        <v>67</v>
      </c>
      <c r="D108" s="2" t="s">
        <v>105</v>
      </c>
      <c r="E108" s="2" t="s">
        <v>87</v>
      </c>
      <c r="F108" s="2" t="s">
        <v>88</v>
      </c>
      <c r="G108" s="4" t="n">
        <v>1</v>
      </c>
      <c r="H108" s="5" t="n">
        <v>1.5</v>
      </c>
      <c r="I108" s="6" t="n">
        <f aca="false">IF(H108="","",G108*H108)</f>
        <v>1.5</v>
      </c>
      <c r="J108" s="2" t="s">
        <v>26</v>
      </c>
    </row>
    <row r="109" customFormat="false" ht="15" hidden="false" customHeight="false" outlineLevel="0" collapsed="false">
      <c r="A109" s="2" t="s">
        <v>132</v>
      </c>
      <c r="B109" s="2" t="s">
        <v>133</v>
      </c>
      <c r="C109" s="2" t="s">
        <v>67</v>
      </c>
      <c r="D109" s="2" t="s">
        <v>105</v>
      </c>
      <c r="E109" s="2" t="s">
        <v>136</v>
      </c>
      <c r="F109" s="2" t="s">
        <v>137</v>
      </c>
      <c r="G109" s="4" t="n">
        <v>2</v>
      </c>
      <c r="H109" s="5" t="n">
        <v>0.25</v>
      </c>
      <c r="I109" s="6" t="n">
        <f aca="false">IF(H109="","",G109*H109)</f>
        <v>0.5</v>
      </c>
      <c r="J109" s="2" t="s">
        <v>26</v>
      </c>
    </row>
    <row r="110" customFormat="false" ht="15" hidden="false" customHeight="false" outlineLevel="0" collapsed="false">
      <c r="A110" s="2" t="s">
        <v>132</v>
      </c>
      <c r="B110" s="2" t="s">
        <v>133</v>
      </c>
      <c r="C110" s="2" t="s">
        <v>67</v>
      </c>
      <c r="D110" s="2" t="s">
        <v>105</v>
      </c>
      <c r="E110" s="2" t="s">
        <v>112</v>
      </c>
      <c r="F110" s="2" t="s">
        <v>113</v>
      </c>
      <c r="G110" s="4" t="n">
        <v>1</v>
      </c>
      <c r="H110" s="6" t="str">
        <f aca="false">IFERROR(IF(INDEX('New Components'!$E$2:$E$20,MATCH(F110,'New Components'!$A$2:$A$20,0))="","",INDEX('New Components'!$E$2:$E$20,MATCH(F110,'New Components'!$A$2:$A$20,0))),"")</f>
        <v/>
      </c>
      <c r="I110" s="6" t="str">
        <f aca="false">IF(H110="","",G110*H110)</f>
        <v/>
      </c>
      <c r="J110" s="2" t="s">
        <v>114</v>
      </c>
    </row>
    <row r="111" customFormat="false" ht="15" hidden="false" customHeight="false" outlineLevel="0" collapsed="false">
      <c r="A111" s="2" t="s">
        <v>132</v>
      </c>
      <c r="B111" s="2" t="s">
        <v>133</v>
      </c>
      <c r="C111" s="2" t="s">
        <v>67</v>
      </c>
      <c r="D111" s="2" t="s">
        <v>105</v>
      </c>
      <c r="E111" s="2" t="s">
        <v>39</v>
      </c>
      <c r="F111" s="2" t="s">
        <v>40</v>
      </c>
      <c r="G111" s="4" t="n">
        <v>1</v>
      </c>
      <c r="H111" s="5" t="n">
        <v>0.5</v>
      </c>
      <c r="I111" s="6" t="n">
        <f aca="false">IF(H111="","",G111*H111)</f>
        <v>0.5</v>
      </c>
      <c r="J111" s="2" t="s">
        <v>26</v>
      </c>
    </row>
    <row r="112" customFormat="false" ht="15" hidden="false" customHeight="false" outlineLevel="0" collapsed="false">
      <c r="A112" s="2" t="s">
        <v>132</v>
      </c>
      <c r="B112" s="2" t="s">
        <v>133</v>
      </c>
      <c r="C112" s="2" t="s">
        <v>67</v>
      </c>
      <c r="D112" s="2" t="s">
        <v>105</v>
      </c>
      <c r="E112" s="2" t="s">
        <v>81</v>
      </c>
      <c r="F112" s="2" t="s">
        <v>82</v>
      </c>
      <c r="G112" s="4" t="n">
        <v>1</v>
      </c>
      <c r="H112" s="5" t="n">
        <v>0.25</v>
      </c>
      <c r="I112" s="6" t="n">
        <f aca="false">IF(H112="","",G112*H112)</f>
        <v>0.25</v>
      </c>
      <c r="J112" s="2" t="s">
        <v>26</v>
      </c>
    </row>
    <row r="113" customFormat="false" ht="15" hidden="false" customHeight="false" outlineLevel="0" collapsed="false">
      <c r="A113" s="2" t="s">
        <v>132</v>
      </c>
      <c r="B113" s="2" t="s">
        <v>133</v>
      </c>
      <c r="C113" s="2" t="s">
        <v>67</v>
      </c>
      <c r="D113" s="2" t="s">
        <v>105</v>
      </c>
      <c r="E113" s="2" t="s">
        <v>83</v>
      </c>
      <c r="F113" s="2" t="s">
        <v>84</v>
      </c>
      <c r="G113" s="4" t="n">
        <v>1</v>
      </c>
      <c r="H113" s="5" t="n">
        <v>0.33</v>
      </c>
      <c r="I113" s="6" t="n">
        <f aca="false">IF(H113="","",G113*H113)</f>
        <v>0.33</v>
      </c>
      <c r="J113" s="2" t="s">
        <v>26</v>
      </c>
    </row>
    <row r="114" customFormat="false" ht="15" hidden="false" customHeight="false" outlineLevel="0" collapsed="false">
      <c r="A114" s="2" t="s">
        <v>138</v>
      </c>
      <c r="B114" s="2" t="s">
        <v>139</v>
      </c>
      <c r="C114" s="2" t="s">
        <v>22</v>
      </c>
      <c r="D114" s="2" t="s">
        <v>23</v>
      </c>
      <c r="E114" s="2" t="s">
        <v>24</v>
      </c>
      <c r="F114" s="2" t="s">
        <v>25</v>
      </c>
      <c r="G114" s="4" t="n">
        <v>1</v>
      </c>
      <c r="H114" s="5" t="n">
        <v>9</v>
      </c>
      <c r="I114" s="6" t="n">
        <f aca="false">IF(H114="","",G114*H114)</f>
        <v>9</v>
      </c>
      <c r="J114" s="2" t="s">
        <v>26</v>
      </c>
    </row>
    <row r="115" customFormat="false" ht="15" hidden="false" customHeight="false" outlineLevel="0" collapsed="false">
      <c r="A115" s="2" t="s">
        <v>138</v>
      </c>
      <c r="B115" s="2" t="s">
        <v>139</v>
      </c>
      <c r="C115" s="2" t="s">
        <v>22</v>
      </c>
      <c r="D115" s="2" t="s">
        <v>23</v>
      </c>
      <c r="E115" s="2" t="s">
        <v>140</v>
      </c>
      <c r="F115" s="2" t="s">
        <v>141</v>
      </c>
      <c r="G115" s="4" t="n">
        <v>2</v>
      </c>
      <c r="H115" s="5" t="n">
        <v>2</v>
      </c>
      <c r="I115" s="6" t="n">
        <f aca="false">IF(H115="","",G115*H115)</f>
        <v>4</v>
      </c>
      <c r="J115" s="2" t="s">
        <v>26</v>
      </c>
    </row>
    <row r="116" customFormat="false" ht="15" hidden="false" customHeight="false" outlineLevel="0" collapsed="false">
      <c r="A116" s="2" t="s">
        <v>138</v>
      </c>
      <c r="B116" s="2" t="s">
        <v>139</v>
      </c>
      <c r="C116" s="2" t="s">
        <v>22</v>
      </c>
      <c r="D116" s="2" t="s">
        <v>23</v>
      </c>
      <c r="E116" s="2" t="s">
        <v>142</v>
      </c>
      <c r="F116" s="2" t="s">
        <v>143</v>
      </c>
      <c r="G116" s="4" t="n">
        <v>1</v>
      </c>
      <c r="H116" s="5" t="n">
        <v>2.83</v>
      </c>
      <c r="I116" s="6" t="n">
        <f aca="false">IF(H116="","",G116*H116)</f>
        <v>2.83</v>
      </c>
      <c r="J116" s="2" t="s">
        <v>26</v>
      </c>
    </row>
    <row r="117" customFormat="false" ht="15" hidden="false" customHeight="false" outlineLevel="0" collapsed="false">
      <c r="A117" s="2" t="s">
        <v>138</v>
      </c>
      <c r="B117" s="2" t="s">
        <v>139</v>
      </c>
      <c r="C117" s="2" t="s">
        <v>22</v>
      </c>
      <c r="D117" s="2" t="s">
        <v>23</v>
      </c>
      <c r="E117" s="2" t="s">
        <v>144</v>
      </c>
      <c r="F117" s="2" t="s">
        <v>145</v>
      </c>
      <c r="G117" s="4" t="n">
        <v>1</v>
      </c>
      <c r="H117" s="5" t="n">
        <v>2.83</v>
      </c>
      <c r="I117" s="6" t="n">
        <f aca="false">IF(H117="","",G117*H117)</f>
        <v>2.83</v>
      </c>
      <c r="J117" s="2" t="s">
        <v>26</v>
      </c>
    </row>
    <row r="118" customFormat="false" ht="15" hidden="false" customHeight="false" outlineLevel="0" collapsed="false">
      <c r="A118" s="2" t="s">
        <v>138</v>
      </c>
      <c r="B118" s="2" t="s">
        <v>139</v>
      </c>
      <c r="C118" s="2" t="s">
        <v>22</v>
      </c>
      <c r="D118" s="2" t="s">
        <v>23</v>
      </c>
      <c r="E118" s="2" t="s">
        <v>87</v>
      </c>
      <c r="F118" s="2" t="s">
        <v>88</v>
      </c>
      <c r="G118" s="4" t="n">
        <v>1</v>
      </c>
      <c r="H118" s="5" t="n">
        <v>1.5</v>
      </c>
      <c r="I118" s="6" t="n">
        <f aca="false">IF(H118="","",G118*H118)</f>
        <v>1.5</v>
      </c>
      <c r="J118" s="2" t="s">
        <v>26</v>
      </c>
    </row>
    <row r="119" customFormat="false" ht="15" hidden="false" customHeight="false" outlineLevel="0" collapsed="false">
      <c r="A119" s="2" t="s">
        <v>138</v>
      </c>
      <c r="B119" s="2" t="s">
        <v>139</v>
      </c>
      <c r="C119" s="2" t="s">
        <v>22</v>
      </c>
      <c r="D119" s="2" t="s">
        <v>23</v>
      </c>
      <c r="E119" s="2" t="s">
        <v>146</v>
      </c>
      <c r="F119" s="2" t="s">
        <v>147</v>
      </c>
      <c r="G119" s="4" t="n">
        <v>1</v>
      </c>
      <c r="H119" s="6" t="str">
        <f aca="false">IFERROR(IF(INDEX('New Components'!$E$2:$E$20,MATCH(F119,'New Components'!$A$2:$A$20,0))="","",INDEX('New Components'!$E$2:$E$20,MATCH(F119,'New Components'!$A$2:$A$20,0))),"")</f>
        <v/>
      </c>
      <c r="I119" s="6" t="str">
        <f aca="false">IF(H119="","",G119*H119)</f>
        <v/>
      </c>
      <c r="J119" s="2" t="s">
        <v>148</v>
      </c>
    </row>
    <row r="120" customFormat="false" ht="15" hidden="false" customHeight="false" outlineLevel="0" collapsed="false">
      <c r="A120" s="2" t="s">
        <v>138</v>
      </c>
      <c r="B120" s="2" t="s">
        <v>139</v>
      </c>
      <c r="C120" s="2" t="s">
        <v>22</v>
      </c>
      <c r="D120" s="2" t="s">
        <v>23</v>
      </c>
      <c r="E120" s="2" t="s">
        <v>34</v>
      </c>
      <c r="F120" s="2" t="s">
        <v>35</v>
      </c>
      <c r="G120" s="4" t="n">
        <v>1</v>
      </c>
      <c r="H120" s="5" t="n">
        <v>4</v>
      </c>
      <c r="I120" s="6" t="n">
        <f aca="false">IF(H120="","",G120*H120)</f>
        <v>4</v>
      </c>
      <c r="J120" s="2" t="s">
        <v>36</v>
      </c>
    </row>
    <row r="121" customFormat="false" ht="15" hidden="false" customHeight="false" outlineLevel="0" collapsed="false">
      <c r="A121" s="2" t="s">
        <v>138</v>
      </c>
      <c r="B121" s="2" t="s">
        <v>139</v>
      </c>
      <c r="C121" s="2" t="s">
        <v>22</v>
      </c>
      <c r="D121" s="2" t="s">
        <v>23</v>
      </c>
      <c r="E121" s="2" t="s">
        <v>37</v>
      </c>
      <c r="F121" s="2" t="s">
        <v>38</v>
      </c>
      <c r="G121" s="4" t="n">
        <v>1</v>
      </c>
      <c r="H121" s="5" t="n">
        <v>4.58</v>
      </c>
      <c r="I121" s="6" t="n">
        <f aca="false">IF(H121="","",G121*H121)</f>
        <v>4.58</v>
      </c>
      <c r="J121" s="2" t="s">
        <v>26</v>
      </c>
    </row>
    <row r="122" customFormat="false" ht="15" hidden="false" customHeight="false" outlineLevel="0" collapsed="false">
      <c r="A122" s="2" t="s">
        <v>138</v>
      </c>
      <c r="B122" s="2" t="s">
        <v>139</v>
      </c>
      <c r="C122" s="2" t="s">
        <v>22</v>
      </c>
      <c r="D122" s="2" t="s">
        <v>23</v>
      </c>
      <c r="E122" s="2" t="s">
        <v>39</v>
      </c>
      <c r="F122" s="2" t="s">
        <v>40</v>
      </c>
      <c r="G122" s="4" t="n">
        <v>1</v>
      </c>
      <c r="H122" s="5" t="n">
        <v>0.5</v>
      </c>
      <c r="I122" s="6" t="n">
        <f aca="false">IF(H122="","",G122*H122)</f>
        <v>0.5</v>
      </c>
      <c r="J122" s="2" t="s">
        <v>26</v>
      </c>
    </row>
    <row r="123" customFormat="false" ht="15" hidden="false" customHeight="false" outlineLevel="0" collapsed="false">
      <c r="A123" s="2" t="s">
        <v>138</v>
      </c>
      <c r="B123" s="2" t="s">
        <v>139</v>
      </c>
      <c r="C123" s="2" t="s">
        <v>22</v>
      </c>
      <c r="D123" s="2" t="s">
        <v>23</v>
      </c>
      <c r="E123" s="2" t="s">
        <v>41</v>
      </c>
      <c r="F123" s="2" t="s">
        <v>42</v>
      </c>
      <c r="G123" s="4" t="n">
        <v>1</v>
      </c>
      <c r="H123" s="5" t="n">
        <v>0.25</v>
      </c>
      <c r="I123" s="6" t="n">
        <f aca="false">IF(H123="","",G123*H123)</f>
        <v>0.25</v>
      </c>
      <c r="J123" s="2" t="s">
        <v>26</v>
      </c>
    </row>
    <row r="124" customFormat="false" ht="15" hidden="false" customHeight="false" outlineLevel="0" collapsed="false">
      <c r="A124" s="2" t="s">
        <v>138</v>
      </c>
      <c r="B124" s="2" t="s">
        <v>139</v>
      </c>
      <c r="C124" s="2" t="s">
        <v>22</v>
      </c>
      <c r="D124" s="2" t="s">
        <v>23</v>
      </c>
      <c r="E124" s="2" t="s">
        <v>43</v>
      </c>
      <c r="F124" s="2" t="s">
        <v>44</v>
      </c>
      <c r="G124" s="4" t="n">
        <v>1</v>
      </c>
      <c r="H124" s="5" t="n">
        <v>0.33</v>
      </c>
      <c r="I124" s="6" t="n">
        <f aca="false">IF(H124="","",G124*H124)</f>
        <v>0.33</v>
      </c>
      <c r="J124" s="2" t="s">
        <v>26</v>
      </c>
    </row>
    <row r="125" customFormat="false" ht="15" hidden="false" customHeight="false" outlineLevel="0" collapsed="false">
      <c r="A125" s="2" t="s">
        <v>138</v>
      </c>
      <c r="B125" s="2" t="s">
        <v>149</v>
      </c>
      <c r="C125" s="2" t="s">
        <v>62</v>
      </c>
      <c r="D125" s="2" t="s">
        <v>23</v>
      </c>
      <c r="E125" s="2" t="s">
        <v>140</v>
      </c>
      <c r="F125" s="2" t="s">
        <v>141</v>
      </c>
      <c r="G125" s="4" t="n">
        <v>2</v>
      </c>
      <c r="H125" s="5" t="n">
        <v>2</v>
      </c>
      <c r="I125" s="6" t="n">
        <f aca="false">IF(H125="","",G125*H125)</f>
        <v>4</v>
      </c>
      <c r="J125" s="2" t="s">
        <v>26</v>
      </c>
    </row>
    <row r="126" customFormat="false" ht="15" hidden="false" customHeight="false" outlineLevel="0" collapsed="false">
      <c r="A126" s="2" t="s">
        <v>138</v>
      </c>
      <c r="B126" s="2" t="s">
        <v>149</v>
      </c>
      <c r="C126" s="2" t="s">
        <v>62</v>
      </c>
      <c r="D126" s="2" t="s">
        <v>23</v>
      </c>
      <c r="E126" s="2" t="s">
        <v>142</v>
      </c>
      <c r="F126" s="2" t="s">
        <v>143</v>
      </c>
      <c r="G126" s="4" t="n">
        <v>1</v>
      </c>
      <c r="H126" s="5" t="n">
        <v>2.83</v>
      </c>
      <c r="I126" s="6" t="n">
        <f aca="false">IF(H126="","",G126*H126)</f>
        <v>2.83</v>
      </c>
      <c r="J126" s="2" t="s">
        <v>26</v>
      </c>
    </row>
    <row r="127" customFormat="false" ht="15" hidden="false" customHeight="false" outlineLevel="0" collapsed="false">
      <c r="A127" s="2" t="s">
        <v>138</v>
      </c>
      <c r="B127" s="2" t="s">
        <v>149</v>
      </c>
      <c r="C127" s="2" t="s">
        <v>62</v>
      </c>
      <c r="D127" s="2" t="s">
        <v>23</v>
      </c>
      <c r="E127" s="2" t="s">
        <v>144</v>
      </c>
      <c r="F127" s="2" t="s">
        <v>145</v>
      </c>
      <c r="G127" s="4" t="n">
        <v>1</v>
      </c>
      <c r="H127" s="5" t="n">
        <v>2.83</v>
      </c>
      <c r="I127" s="6" t="n">
        <f aca="false">IF(H127="","",G127*H127)</f>
        <v>2.83</v>
      </c>
      <c r="J127" s="2" t="s">
        <v>26</v>
      </c>
    </row>
    <row r="128" customFormat="false" ht="15" hidden="false" customHeight="false" outlineLevel="0" collapsed="false">
      <c r="A128" s="2" t="s">
        <v>138</v>
      </c>
      <c r="B128" s="2" t="s">
        <v>149</v>
      </c>
      <c r="C128" s="2" t="s">
        <v>62</v>
      </c>
      <c r="D128" s="2" t="s">
        <v>23</v>
      </c>
      <c r="E128" s="2" t="s">
        <v>87</v>
      </c>
      <c r="F128" s="2" t="s">
        <v>88</v>
      </c>
      <c r="G128" s="4" t="n">
        <v>1</v>
      </c>
      <c r="H128" s="5" t="n">
        <v>1.5</v>
      </c>
      <c r="I128" s="6" t="n">
        <f aca="false">IF(H128="","",G128*H128)</f>
        <v>1.5</v>
      </c>
      <c r="J128" s="2" t="s">
        <v>26</v>
      </c>
    </row>
    <row r="129" customFormat="false" ht="15" hidden="false" customHeight="false" outlineLevel="0" collapsed="false">
      <c r="A129" s="2" t="s">
        <v>138</v>
      </c>
      <c r="B129" s="2" t="s">
        <v>149</v>
      </c>
      <c r="C129" s="2" t="s">
        <v>62</v>
      </c>
      <c r="D129" s="2" t="s">
        <v>23</v>
      </c>
      <c r="E129" s="2" t="s">
        <v>146</v>
      </c>
      <c r="F129" s="2" t="s">
        <v>147</v>
      </c>
      <c r="G129" s="4" t="n">
        <v>1</v>
      </c>
      <c r="H129" s="6" t="str">
        <f aca="false">IFERROR(IF(INDEX('New Components'!$E$2:$E$20,MATCH(F129,'New Components'!$A$2:$A$20,0))="","",INDEX('New Components'!$E$2:$E$20,MATCH(F129,'New Components'!$A$2:$A$20,0))),"")</f>
        <v/>
      </c>
      <c r="I129" s="6" t="str">
        <f aca="false">IF(H129="","",G129*H129)</f>
        <v/>
      </c>
      <c r="J129" s="2" t="s">
        <v>148</v>
      </c>
    </row>
    <row r="130" customFormat="false" ht="15" hidden="false" customHeight="false" outlineLevel="0" collapsed="false">
      <c r="A130" s="2" t="s">
        <v>138</v>
      </c>
      <c r="B130" s="2" t="s">
        <v>149</v>
      </c>
      <c r="C130" s="2" t="s">
        <v>62</v>
      </c>
      <c r="D130" s="2" t="s">
        <v>23</v>
      </c>
      <c r="E130" s="2" t="s">
        <v>34</v>
      </c>
      <c r="F130" s="2" t="s">
        <v>35</v>
      </c>
      <c r="G130" s="4" t="n">
        <v>1</v>
      </c>
      <c r="H130" s="5" t="n">
        <v>4</v>
      </c>
      <c r="I130" s="6" t="n">
        <f aca="false">IF(H130="","",G130*H130)</f>
        <v>4</v>
      </c>
      <c r="J130" s="2" t="s">
        <v>36</v>
      </c>
    </row>
    <row r="131" customFormat="false" ht="15" hidden="false" customHeight="false" outlineLevel="0" collapsed="false">
      <c r="A131" s="2" t="s">
        <v>138</v>
      </c>
      <c r="B131" s="2" t="s">
        <v>149</v>
      </c>
      <c r="C131" s="2" t="s">
        <v>62</v>
      </c>
      <c r="D131" s="2" t="s">
        <v>23</v>
      </c>
      <c r="E131" s="2" t="s">
        <v>63</v>
      </c>
      <c r="F131" s="2" t="s">
        <v>64</v>
      </c>
      <c r="G131" s="4" t="n">
        <v>1</v>
      </c>
      <c r="H131" s="5" t="n">
        <v>12.08</v>
      </c>
      <c r="I131" s="6" t="n">
        <f aca="false">IF(H131="","",G131*H131)</f>
        <v>12.08</v>
      </c>
      <c r="J131" s="2" t="s">
        <v>26</v>
      </c>
    </row>
    <row r="132" customFormat="false" ht="15" hidden="false" customHeight="false" outlineLevel="0" collapsed="false">
      <c r="A132" s="2" t="s">
        <v>138</v>
      </c>
      <c r="B132" s="2" t="s">
        <v>149</v>
      </c>
      <c r="C132" s="2" t="s">
        <v>62</v>
      </c>
      <c r="D132" s="2" t="s">
        <v>23</v>
      </c>
      <c r="E132" s="2" t="s">
        <v>150</v>
      </c>
      <c r="F132" s="2" t="s">
        <v>151</v>
      </c>
      <c r="G132" s="4" t="n">
        <v>1</v>
      </c>
      <c r="H132" s="5" t="n">
        <v>2</v>
      </c>
      <c r="I132" s="6" t="n">
        <f aca="false">IF(H132="","",G132*H132)</f>
        <v>2</v>
      </c>
      <c r="J132" s="2" t="s">
        <v>26</v>
      </c>
    </row>
    <row r="133" customFormat="false" ht="15" hidden="false" customHeight="false" outlineLevel="0" collapsed="false">
      <c r="A133" s="2" t="s">
        <v>138</v>
      </c>
      <c r="B133" s="2" t="s">
        <v>149</v>
      </c>
      <c r="C133" s="2" t="s">
        <v>62</v>
      </c>
      <c r="D133" s="2" t="s">
        <v>23</v>
      </c>
      <c r="E133" s="2" t="s">
        <v>37</v>
      </c>
      <c r="F133" s="2" t="s">
        <v>38</v>
      </c>
      <c r="G133" s="4" t="n">
        <v>1</v>
      </c>
      <c r="H133" s="5" t="n">
        <v>4.58</v>
      </c>
      <c r="I133" s="6" t="n">
        <f aca="false">IF(H133="","",G133*H133)</f>
        <v>4.58</v>
      </c>
      <c r="J133" s="2" t="s">
        <v>26</v>
      </c>
    </row>
    <row r="134" customFormat="false" ht="15" hidden="false" customHeight="false" outlineLevel="0" collapsed="false">
      <c r="A134" s="2" t="s">
        <v>138</v>
      </c>
      <c r="B134" s="2" t="s">
        <v>149</v>
      </c>
      <c r="C134" s="2" t="s">
        <v>62</v>
      </c>
      <c r="D134" s="2" t="s">
        <v>23</v>
      </c>
      <c r="E134" s="2" t="s">
        <v>39</v>
      </c>
      <c r="F134" s="2" t="s">
        <v>40</v>
      </c>
      <c r="G134" s="4" t="n">
        <v>1</v>
      </c>
      <c r="H134" s="5" t="n">
        <v>0.5</v>
      </c>
      <c r="I134" s="6" t="n">
        <f aca="false">IF(H134="","",G134*H134)</f>
        <v>0.5</v>
      </c>
      <c r="J134" s="2" t="s">
        <v>26</v>
      </c>
    </row>
    <row r="135" customFormat="false" ht="15" hidden="false" customHeight="false" outlineLevel="0" collapsed="false">
      <c r="A135" s="2" t="s">
        <v>138</v>
      </c>
      <c r="B135" s="2" t="s">
        <v>149</v>
      </c>
      <c r="C135" s="2" t="s">
        <v>62</v>
      </c>
      <c r="D135" s="2" t="s">
        <v>23</v>
      </c>
      <c r="E135" s="2" t="s">
        <v>41</v>
      </c>
      <c r="F135" s="2" t="s">
        <v>42</v>
      </c>
      <c r="G135" s="4" t="n">
        <v>1</v>
      </c>
      <c r="H135" s="5" t="n">
        <v>0.25</v>
      </c>
      <c r="I135" s="6" t="n">
        <f aca="false">IF(H135="","",G135*H135)</f>
        <v>0.25</v>
      </c>
      <c r="J135" s="2" t="s">
        <v>26</v>
      </c>
    </row>
    <row r="136" customFormat="false" ht="15" hidden="false" customHeight="false" outlineLevel="0" collapsed="false">
      <c r="A136" s="2" t="s">
        <v>138</v>
      </c>
      <c r="B136" s="2" t="s">
        <v>149</v>
      </c>
      <c r="C136" s="2" t="s">
        <v>62</v>
      </c>
      <c r="D136" s="2" t="s">
        <v>23</v>
      </c>
      <c r="E136" s="2" t="s">
        <v>43</v>
      </c>
      <c r="F136" s="2" t="s">
        <v>44</v>
      </c>
      <c r="G136" s="4" t="n">
        <v>1</v>
      </c>
      <c r="H136" s="5" t="n">
        <v>0.33</v>
      </c>
      <c r="I136" s="6" t="n">
        <f aca="false">IF(H136="","",G136*H136)</f>
        <v>0.33</v>
      </c>
      <c r="J136" s="2" t="s">
        <v>26</v>
      </c>
    </row>
    <row r="137" customFormat="false" ht="15" hidden="false" customHeight="false" outlineLevel="0" collapsed="false">
      <c r="A137" s="2" t="s">
        <v>152</v>
      </c>
      <c r="B137" s="2" t="s">
        <v>153</v>
      </c>
      <c r="C137" s="2" t="s">
        <v>67</v>
      </c>
      <c r="D137" s="2" t="s">
        <v>23</v>
      </c>
      <c r="E137" s="2" t="s">
        <v>122</v>
      </c>
      <c r="F137" s="2" t="s">
        <v>123</v>
      </c>
      <c r="G137" s="4" t="n">
        <v>1</v>
      </c>
      <c r="H137" s="5" t="n">
        <v>3.1</v>
      </c>
      <c r="I137" s="6" t="n">
        <f aca="false">IF(H137="","",G137*H137)</f>
        <v>3.1</v>
      </c>
      <c r="J137" s="2" t="s">
        <v>26</v>
      </c>
    </row>
    <row r="138" customFormat="false" ht="15" hidden="false" customHeight="false" outlineLevel="0" collapsed="false">
      <c r="A138" s="2" t="s">
        <v>152</v>
      </c>
      <c r="B138" s="2" t="s">
        <v>153</v>
      </c>
      <c r="C138" s="2" t="s">
        <v>67</v>
      </c>
      <c r="D138" s="2" t="s">
        <v>23</v>
      </c>
      <c r="E138" s="2" t="s">
        <v>154</v>
      </c>
      <c r="F138" s="2" t="s">
        <v>155</v>
      </c>
      <c r="G138" s="4" t="n">
        <v>1</v>
      </c>
      <c r="H138" s="6" t="str">
        <f aca="false">IFERROR(IF(INDEX('New Components'!$E$2:$E$20,MATCH(F138,'New Components'!$A$2:$A$20,0))="","",INDEX('New Components'!$E$2:$E$20,MATCH(F138,'New Components'!$A$2:$A$20,0))),"")</f>
        <v/>
      </c>
      <c r="I138" s="6" t="str">
        <f aca="false">IF(H138="","",G138*H138)</f>
        <v/>
      </c>
      <c r="J138" s="2" t="s">
        <v>148</v>
      </c>
    </row>
    <row r="139" customFormat="false" ht="15" hidden="false" customHeight="false" outlineLevel="0" collapsed="false">
      <c r="A139" s="2" t="s">
        <v>152</v>
      </c>
      <c r="B139" s="2" t="s">
        <v>153</v>
      </c>
      <c r="C139" s="2" t="s">
        <v>67</v>
      </c>
      <c r="D139" s="2" t="s">
        <v>23</v>
      </c>
      <c r="E139" s="2" t="s">
        <v>79</v>
      </c>
      <c r="F139" s="2" t="s">
        <v>80</v>
      </c>
      <c r="G139" s="4" t="n">
        <v>2</v>
      </c>
      <c r="H139" s="5" t="n">
        <v>0.54</v>
      </c>
      <c r="I139" s="6" t="n">
        <f aca="false">IF(H139="","",G139*H139)</f>
        <v>1.08</v>
      </c>
      <c r="J139" s="2" t="s">
        <v>26</v>
      </c>
    </row>
    <row r="140" customFormat="false" ht="15" hidden="false" customHeight="false" outlineLevel="0" collapsed="false">
      <c r="A140" s="2" t="s">
        <v>152</v>
      </c>
      <c r="B140" s="2" t="s">
        <v>153</v>
      </c>
      <c r="C140" s="2" t="s">
        <v>67</v>
      </c>
      <c r="D140" s="2" t="s">
        <v>23</v>
      </c>
      <c r="E140" s="2" t="s">
        <v>142</v>
      </c>
      <c r="F140" s="2" t="s">
        <v>143</v>
      </c>
      <c r="G140" s="4" t="n">
        <v>1</v>
      </c>
      <c r="H140" s="5" t="n">
        <v>2.83</v>
      </c>
      <c r="I140" s="6" t="n">
        <f aca="false">IF(H140="","",G140*H140)</f>
        <v>2.83</v>
      </c>
      <c r="J140" s="2" t="s">
        <v>26</v>
      </c>
    </row>
    <row r="141" customFormat="false" ht="15" hidden="false" customHeight="false" outlineLevel="0" collapsed="false">
      <c r="A141" s="2" t="s">
        <v>152</v>
      </c>
      <c r="B141" s="2" t="s">
        <v>153</v>
      </c>
      <c r="C141" s="2" t="s">
        <v>67</v>
      </c>
      <c r="D141" s="2" t="s">
        <v>23</v>
      </c>
      <c r="E141" s="2" t="s">
        <v>34</v>
      </c>
      <c r="F141" s="2" t="s">
        <v>35</v>
      </c>
      <c r="G141" s="4" t="n">
        <v>1</v>
      </c>
      <c r="H141" s="5" t="n">
        <v>4</v>
      </c>
      <c r="I141" s="6" t="n">
        <f aca="false">IF(H141="","",G141*H141)</f>
        <v>4</v>
      </c>
      <c r="J141" s="2" t="s">
        <v>36</v>
      </c>
    </row>
    <row r="142" customFormat="false" ht="15" hidden="false" customHeight="false" outlineLevel="0" collapsed="false">
      <c r="A142" s="2" t="s">
        <v>152</v>
      </c>
      <c r="B142" s="2" t="s">
        <v>153</v>
      </c>
      <c r="C142" s="2" t="s">
        <v>67</v>
      </c>
      <c r="D142" s="2" t="s">
        <v>23</v>
      </c>
      <c r="E142" s="2" t="s">
        <v>37</v>
      </c>
      <c r="F142" s="2" t="s">
        <v>38</v>
      </c>
      <c r="G142" s="4" t="n">
        <v>1</v>
      </c>
      <c r="H142" s="5" t="n">
        <v>4.58</v>
      </c>
      <c r="I142" s="6" t="n">
        <f aca="false">IF(H142="","",G142*H142)</f>
        <v>4.58</v>
      </c>
      <c r="J142" s="2" t="s">
        <v>26</v>
      </c>
    </row>
    <row r="143" customFormat="false" ht="15" hidden="false" customHeight="false" outlineLevel="0" collapsed="false">
      <c r="A143" s="2" t="s">
        <v>152</v>
      </c>
      <c r="B143" s="2" t="s">
        <v>153</v>
      </c>
      <c r="C143" s="2" t="s">
        <v>67</v>
      </c>
      <c r="D143" s="2" t="s">
        <v>23</v>
      </c>
      <c r="E143" s="2" t="s">
        <v>39</v>
      </c>
      <c r="F143" s="2" t="s">
        <v>40</v>
      </c>
      <c r="G143" s="4" t="n">
        <v>1</v>
      </c>
      <c r="H143" s="5" t="n">
        <v>0.5</v>
      </c>
      <c r="I143" s="6" t="n">
        <f aca="false">IF(H143="","",G143*H143)</f>
        <v>0.5</v>
      </c>
      <c r="J143" s="2" t="s">
        <v>26</v>
      </c>
    </row>
    <row r="144" customFormat="false" ht="15" hidden="false" customHeight="false" outlineLevel="0" collapsed="false">
      <c r="A144" s="2" t="s">
        <v>152</v>
      </c>
      <c r="B144" s="2" t="s">
        <v>153</v>
      </c>
      <c r="C144" s="2" t="s">
        <v>67</v>
      </c>
      <c r="D144" s="2" t="s">
        <v>23</v>
      </c>
      <c r="E144" s="2" t="s">
        <v>41</v>
      </c>
      <c r="F144" s="2" t="s">
        <v>42</v>
      </c>
      <c r="G144" s="4" t="n">
        <v>1</v>
      </c>
      <c r="H144" s="5" t="n">
        <v>0.25</v>
      </c>
      <c r="I144" s="6" t="n">
        <f aca="false">IF(H144="","",G144*H144)</f>
        <v>0.25</v>
      </c>
      <c r="J144" s="2" t="s">
        <v>26</v>
      </c>
    </row>
    <row r="145" customFormat="false" ht="15" hidden="false" customHeight="false" outlineLevel="0" collapsed="false">
      <c r="A145" s="2" t="s">
        <v>152</v>
      </c>
      <c r="B145" s="2" t="s">
        <v>153</v>
      </c>
      <c r="C145" s="2" t="s">
        <v>67</v>
      </c>
      <c r="D145" s="2" t="s">
        <v>23</v>
      </c>
      <c r="E145" s="2" t="s">
        <v>43</v>
      </c>
      <c r="F145" s="2" t="s">
        <v>44</v>
      </c>
      <c r="G145" s="4" t="n">
        <v>1</v>
      </c>
      <c r="H145" s="5" t="n">
        <v>0.33</v>
      </c>
      <c r="I145" s="6" t="n">
        <f aca="false">IF(H145="","",G145*H145)</f>
        <v>0.33</v>
      </c>
      <c r="J145" s="2" t="s">
        <v>26</v>
      </c>
    </row>
    <row r="146" customFormat="false" ht="15" hidden="false" customHeight="false" outlineLevel="0" collapsed="false">
      <c r="A146" s="2" t="s">
        <v>156</v>
      </c>
      <c r="B146" s="2" t="s">
        <v>157</v>
      </c>
      <c r="C146" s="2" t="s">
        <v>67</v>
      </c>
      <c r="D146" s="2" t="s">
        <v>68</v>
      </c>
      <c r="E146" s="2" t="s">
        <v>101</v>
      </c>
      <c r="F146" s="2" t="s">
        <v>102</v>
      </c>
      <c r="G146" s="4" t="n">
        <v>1</v>
      </c>
      <c r="H146" s="5" t="n">
        <v>7.23</v>
      </c>
      <c r="I146" s="6" t="n">
        <f aca="false">IF(H146="","",G146*H146)</f>
        <v>7.23</v>
      </c>
      <c r="J146" s="2" t="s">
        <v>36</v>
      </c>
    </row>
    <row r="147" customFormat="false" ht="15" hidden="false" customHeight="false" outlineLevel="0" collapsed="false">
      <c r="A147" s="2" t="s">
        <v>156</v>
      </c>
      <c r="B147" s="2" t="s">
        <v>157</v>
      </c>
      <c r="C147" s="2" t="s">
        <v>67</v>
      </c>
      <c r="D147" s="2" t="s">
        <v>68</v>
      </c>
      <c r="E147" s="2" t="s">
        <v>34</v>
      </c>
      <c r="F147" s="2" t="s">
        <v>35</v>
      </c>
      <c r="G147" s="4" t="n">
        <v>1</v>
      </c>
      <c r="H147" s="5" t="n">
        <v>4</v>
      </c>
      <c r="I147" s="6" t="n">
        <f aca="false">IF(H147="","",G147*H147)</f>
        <v>4</v>
      </c>
      <c r="J147" s="2" t="s">
        <v>36</v>
      </c>
    </row>
    <row r="148" customFormat="false" ht="15" hidden="false" customHeight="false" outlineLevel="0" collapsed="false">
      <c r="A148" s="2" t="s">
        <v>156</v>
      </c>
      <c r="B148" s="2" t="s">
        <v>157</v>
      </c>
      <c r="C148" s="2" t="s">
        <v>67</v>
      </c>
      <c r="D148" s="2" t="s">
        <v>68</v>
      </c>
      <c r="E148" s="2" t="s">
        <v>93</v>
      </c>
      <c r="F148" s="2" t="s">
        <v>94</v>
      </c>
      <c r="G148" s="4" t="n">
        <v>1</v>
      </c>
      <c r="H148" s="5" t="n">
        <v>5</v>
      </c>
      <c r="I148" s="6" t="n">
        <f aca="false">IF(H148="","",G148*H148)</f>
        <v>5</v>
      </c>
      <c r="J148" s="2" t="s">
        <v>36</v>
      </c>
    </row>
    <row r="149" customFormat="false" ht="15" hidden="false" customHeight="false" outlineLevel="0" collapsed="false">
      <c r="A149" s="2" t="s">
        <v>156</v>
      </c>
      <c r="B149" s="2" t="s">
        <v>157</v>
      </c>
      <c r="C149" s="2" t="s">
        <v>67</v>
      </c>
      <c r="D149" s="2" t="s">
        <v>68</v>
      </c>
      <c r="E149" s="2" t="s">
        <v>110</v>
      </c>
      <c r="F149" s="2" t="s">
        <v>111</v>
      </c>
      <c r="G149" s="4" t="n">
        <v>1</v>
      </c>
      <c r="H149" s="5" t="n">
        <v>3.52</v>
      </c>
      <c r="I149" s="6" t="n">
        <f aca="false">IF(H149="","",G149*H149)</f>
        <v>3.52</v>
      </c>
      <c r="J149" s="2" t="s">
        <v>36</v>
      </c>
    </row>
    <row r="150" customFormat="false" ht="15" hidden="false" customHeight="false" outlineLevel="0" collapsed="false">
      <c r="A150" s="2" t="s">
        <v>156</v>
      </c>
      <c r="B150" s="2" t="s">
        <v>157</v>
      </c>
      <c r="C150" s="2" t="s">
        <v>67</v>
      </c>
      <c r="D150" s="2" t="s">
        <v>68</v>
      </c>
      <c r="E150" s="2" t="s">
        <v>37</v>
      </c>
      <c r="F150" s="2" t="s">
        <v>38</v>
      </c>
      <c r="G150" s="4" t="n">
        <v>1</v>
      </c>
      <c r="H150" s="5" t="n">
        <v>4.58</v>
      </c>
      <c r="I150" s="6" t="n">
        <f aca="false">IF(H150="","",G150*H150)</f>
        <v>4.58</v>
      </c>
      <c r="J150" s="2" t="s">
        <v>26</v>
      </c>
    </row>
    <row r="151" customFormat="false" ht="15" hidden="false" customHeight="false" outlineLevel="0" collapsed="false">
      <c r="A151" s="2" t="s">
        <v>156</v>
      </c>
      <c r="B151" s="2" t="s">
        <v>157</v>
      </c>
      <c r="C151" s="2" t="s">
        <v>67</v>
      </c>
      <c r="D151" s="2" t="s">
        <v>68</v>
      </c>
      <c r="E151" s="2" t="s">
        <v>39</v>
      </c>
      <c r="F151" s="2" t="s">
        <v>40</v>
      </c>
      <c r="G151" s="4" t="n">
        <v>1</v>
      </c>
      <c r="H151" s="5" t="n">
        <v>0.5</v>
      </c>
      <c r="I151" s="6" t="n">
        <f aca="false">IF(H151="","",G151*H151)</f>
        <v>0.5</v>
      </c>
      <c r="J151" s="2" t="s">
        <v>26</v>
      </c>
    </row>
    <row r="152" customFormat="false" ht="15" hidden="false" customHeight="false" outlineLevel="0" collapsed="false">
      <c r="A152" s="2" t="s">
        <v>156</v>
      </c>
      <c r="B152" s="2" t="s">
        <v>157</v>
      </c>
      <c r="C152" s="2" t="s">
        <v>67</v>
      </c>
      <c r="D152" s="2" t="s">
        <v>68</v>
      </c>
      <c r="E152" s="2" t="s">
        <v>81</v>
      </c>
      <c r="F152" s="2" t="s">
        <v>82</v>
      </c>
      <c r="G152" s="4" t="n">
        <v>1</v>
      </c>
      <c r="H152" s="5" t="n">
        <v>0.25</v>
      </c>
      <c r="I152" s="6" t="n">
        <f aca="false">IF(H152="","",G152*H152)</f>
        <v>0.25</v>
      </c>
      <c r="J152" s="2" t="s">
        <v>26</v>
      </c>
    </row>
    <row r="153" customFormat="false" ht="15" hidden="false" customHeight="false" outlineLevel="0" collapsed="false">
      <c r="A153" s="2" t="s">
        <v>156</v>
      </c>
      <c r="B153" s="2" t="s">
        <v>157</v>
      </c>
      <c r="C153" s="2" t="s">
        <v>67</v>
      </c>
      <c r="D153" s="2" t="s">
        <v>68</v>
      </c>
      <c r="E153" s="2" t="s">
        <v>83</v>
      </c>
      <c r="F153" s="2" t="s">
        <v>84</v>
      </c>
      <c r="G153" s="4" t="n">
        <v>1</v>
      </c>
      <c r="H153" s="5" t="n">
        <v>0.33</v>
      </c>
      <c r="I153" s="6" t="n">
        <f aca="false">IF(H153="","",G153*H153)</f>
        <v>0.33</v>
      </c>
      <c r="J153" s="2" t="s">
        <v>26</v>
      </c>
    </row>
    <row r="154" customFormat="false" ht="15" hidden="false" customHeight="false" outlineLevel="0" collapsed="false">
      <c r="A154" s="2" t="s">
        <v>158</v>
      </c>
      <c r="B154" s="2" t="s">
        <v>159</v>
      </c>
      <c r="C154" s="2" t="s">
        <v>67</v>
      </c>
      <c r="D154" s="2" t="s">
        <v>23</v>
      </c>
      <c r="E154" s="2" t="s">
        <v>160</v>
      </c>
      <c r="F154" s="2" t="s">
        <v>161</v>
      </c>
      <c r="G154" s="4" t="n">
        <v>1</v>
      </c>
      <c r="H154" s="5" t="n">
        <v>11.11</v>
      </c>
      <c r="I154" s="6" t="n">
        <f aca="false">IF(H154="","",G154*H154)</f>
        <v>11.11</v>
      </c>
      <c r="J154" s="2" t="s">
        <v>36</v>
      </c>
    </row>
    <row r="155" customFormat="false" ht="15" hidden="false" customHeight="false" outlineLevel="0" collapsed="false">
      <c r="A155" s="2" t="s">
        <v>158</v>
      </c>
      <c r="B155" s="2" t="s">
        <v>159</v>
      </c>
      <c r="C155" s="2" t="s">
        <v>67</v>
      </c>
      <c r="D155" s="2" t="s">
        <v>23</v>
      </c>
      <c r="E155" s="2" t="s">
        <v>162</v>
      </c>
      <c r="F155" s="2" t="s">
        <v>163</v>
      </c>
      <c r="G155" s="4" t="n">
        <v>1</v>
      </c>
      <c r="H155" s="5" t="n">
        <v>6.6</v>
      </c>
      <c r="I155" s="6" t="n">
        <f aca="false">IF(H155="","",G155*H155)</f>
        <v>6.6</v>
      </c>
      <c r="J155" s="2" t="s">
        <v>36</v>
      </c>
    </row>
    <row r="156" customFormat="false" ht="15" hidden="false" customHeight="false" outlineLevel="0" collapsed="false">
      <c r="A156" s="2" t="s">
        <v>158</v>
      </c>
      <c r="B156" s="2" t="s">
        <v>159</v>
      </c>
      <c r="C156" s="2" t="s">
        <v>67</v>
      </c>
      <c r="D156" s="2" t="s">
        <v>23</v>
      </c>
      <c r="E156" s="2" t="s">
        <v>164</v>
      </c>
      <c r="F156" s="2" t="s">
        <v>165</v>
      </c>
      <c r="G156" s="4" t="n">
        <v>1</v>
      </c>
      <c r="H156" s="6" t="str">
        <f aca="false">IFERROR(IF(INDEX('New Components'!$E$2:$E$20,MATCH(F156,'New Components'!$A$2:$A$20,0))="","",INDEX('New Components'!$E$2:$E$20,MATCH(F156,'New Components'!$A$2:$A$20,0))),"")</f>
        <v/>
      </c>
      <c r="I156" s="6" t="str">
        <f aca="false">IF(H156="","",G156*H156)</f>
        <v/>
      </c>
      <c r="J156" s="2" t="s">
        <v>29</v>
      </c>
    </row>
    <row r="157" customFormat="false" ht="15" hidden="false" customHeight="false" outlineLevel="0" collapsed="false">
      <c r="A157" s="2" t="s">
        <v>158</v>
      </c>
      <c r="B157" s="2" t="s">
        <v>159</v>
      </c>
      <c r="C157" s="2" t="s">
        <v>67</v>
      </c>
      <c r="D157" s="2" t="s">
        <v>23</v>
      </c>
      <c r="E157" s="2" t="s">
        <v>166</v>
      </c>
      <c r="F157" s="2" t="s">
        <v>167</v>
      </c>
      <c r="G157" s="4" t="n">
        <v>1</v>
      </c>
      <c r="H157" s="6" t="str">
        <f aca="false">IFERROR(IF(INDEX('New Components'!$E$2:$E$20,MATCH(F157,'New Components'!$A$2:$A$20,0))="","",INDEX('New Components'!$E$2:$E$20,MATCH(F157,'New Components'!$A$2:$A$20,0))),"")</f>
        <v/>
      </c>
      <c r="I157" s="6" t="str">
        <f aca="false">IF(H157="","",G157*H157)</f>
        <v/>
      </c>
      <c r="J157" s="2" t="s">
        <v>29</v>
      </c>
    </row>
    <row r="158" customFormat="false" ht="15" hidden="false" customHeight="false" outlineLevel="0" collapsed="false">
      <c r="A158" s="2" t="s">
        <v>158</v>
      </c>
      <c r="B158" s="2" t="s">
        <v>159</v>
      </c>
      <c r="C158" s="2" t="s">
        <v>67</v>
      </c>
      <c r="D158" s="2" t="s">
        <v>23</v>
      </c>
      <c r="E158" s="2" t="s">
        <v>37</v>
      </c>
      <c r="F158" s="2" t="s">
        <v>38</v>
      </c>
      <c r="G158" s="4" t="n">
        <v>1</v>
      </c>
      <c r="H158" s="5" t="n">
        <v>4.58</v>
      </c>
      <c r="I158" s="6" t="n">
        <f aca="false">IF(H158="","",G158*H158)</f>
        <v>4.58</v>
      </c>
      <c r="J158" s="2" t="s">
        <v>26</v>
      </c>
    </row>
    <row r="159" customFormat="false" ht="15" hidden="false" customHeight="false" outlineLevel="0" collapsed="false">
      <c r="A159" s="2" t="s">
        <v>158</v>
      </c>
      <c r="B159" s="2" t="s">
        <v>159</v>
      </c>
      <c r="C159" s="2" t="s">
        <v>67</v>
      </c>
      <c r="D159" s="2" t="s">
        <v>23</v>
      </c>
      <c r="E159" s="2" t="s">
        <v>39</v>
      </c>
      <c r="F159" s="2" t="s">
        <v>40</v>
      </c>
      <c r="G159" s="4" t="n">
        <v>1</v>
      </c>
      <c r="H159" s="5" t="n">
        <v>0.5</v>
      </c>
      <c r="I159" s="6" t="n">
        <f aca="false">IF(H159="","",G159*H159)</f>
        <v>0.5</v>
      </c>
      <c r="J159" s="2" t="s">
        <v>26</v>
      </c>
    </row>
    <row r="160" customFormat="false" ht="15" hidden="false" customHeight="false" outlineLevel="0" collapsed="false">
      <c r="A160" s="2" t="s">
        <v>158</v>
      </c>
      <c r="B160" s="2" t="s">
        <v>159</v>
      </c>
      <c r="C160" s="2" t="s">
        <v>67</v>
      </c>
      <c r="D160" s="2" t="s">
        <v>23</v>
      </c>
      <c r="E160" s="2" t="s">
        <v>41</v>
      </c>
      <c r="F160" s="2" t="s">
        <v>42</v>
      </c>
      <c r="G160" s="4" t="n">
        <v>1</v>
      </c>
      <c r="H160" s="5" t="n">
        <v>0.25</v>
      </c>
      <c r="I160" s="6" t="n">
        <f aca="false">IF(H160="","",G160*H160)</f>
        <v>0.25</v>
      </c>
      <c r="J160" s="2" t="s">
        <v>26</v>
      </c>
    </row>
    <row r="161" customFormat="false" ht="15" hidden="false" customHeight="false" outlineLevel="0" collapsed="false">
      <c r="A161" s="2" t="s">
        <v>158</v>
      </c>
      <c r="B161" s="2" t="s">
        <v>159</v>
      </c>
      <c r="C161" s="2" t="s">
        <v>67</v>
      </c>
      <c r="D161" s="2" t="s">
        <v>23</v>
      </c>
      <c r="E161" s="2" t="s">
        <v>43</v>
      </c>
      <c r="F161" s="2" t="s">
        <v>44</v>
      </c>
      <c r="G161" s="4" t="n">
        <v>1</v>
      </c>
      <c r="H161" s="5" t="n">
        <v>0.33</v>
      </c>
      <c r="I161" s="6" t="n">
        <f aca="false">IF(H161="","",G161*H161)</f>
        <v>0.33</v>
      </c>
      <c r="J161" s="2" t="s">
        <v>26</v>
      </c>
    </row>
    <row r="162" customFormat="false" ht="15" hidden="false" customHeight="false" outlineLevel="0" collapsed="false">
      <c r="A162" s="2" t="s">
        <v>168</v>
      </c>
      <c r="B162" s="2" t="s">
        <v>169</v>
      </c>
      <c r="C162" s="2" t="s">
        <v>67</v>
      </c>
      <c r="D162" s="2" t="s">
        <v>23</v>
      </c>
      <c r="E162" s="2" t="s">
        <v>59</v>
      </c>
      <c r="F162" s="2" t="s">
        <v>60</v>
      </c>
      <c r="G162" s="4" t="n">
        <v>1</v>
      </c>
      <c r="H162" s="5" t="n">
        <v>6</v>
      </c>
      <c r="I162" s="6" t="n">
        <f aca="false">IF(H162="","",G162*H162)</f>
        <v>6</v>
      </c>
      <c r="J162" s="2" t="s">
        <v>26</v>
      </c>
    </row>
    <row r="163" customFormat="false" ht="15" hidden="false" customHeight="false" outlineLevel="0" collapsed="false">
      <c r="A163" s="2" t="s">
        <v>168</v>
      </c>
      <c r="B163" s="2" t="s">
        <v>169</v>
      </c>
      <c r="C163" s="2" t="s">
        <v>67</v>
      </c>
      <c r="D163" s="2" t="s">
        <v>23</v>
      </c>
      <c r="E163" s="2" t="s">
        <v>53</v>
      </c>
      <c r="F163" s="2" t="s">
        <v>54</v>
      </c>
      <c r="G163" s="4" t="n">
        <v>1</v>
      </c>
      <c r="H163" s="5" t="n">
        <v>2.5</v>
      </c>
      <c r="I163" s="6" t="n">
        <f aca="false">IF(H163="","",G163*H163)</f>
        <v>2.5</v>
      </c>
      <c r="J163" s="2" t="s">
        <v>26</v>
      </c>
    </row>
    <row r="164" customFormat="false" ht="15" hidden="false" customHeight="false" outlineLevel="0" collapsed="false">
      <c r="A164" s="2" t="s">
        <v>168</v>
      </c>
      <c r="B164" s="2" t="s">
        <v>169</v>
      </c>
      <c r="C164" s="2" t="s">
        <v>67</v>
      </c>
      <c r="D164" s="2" t="s">
        <v>23</v>
      </c>
      <c r="E164" s="2" t="s">
        <v>162</v>
      </c>
      <c r="F164" s="2" t="s">
        <v>163</v>
      </c>
      <c r="G164" s="4" t="n">
        <v>1</v>
      </c>
      <c r="H164" s="5" t="n">
        <v>6.6</v>
      </c>
      <c r="I164" s="6" t="n">
        <f aca="false">IF(H164="","",G164*H164)</f>
        <v>6.6</v>
      </c>
      <c r="J164" s="2" t="s">
        <v>36</v>
      </c>
    </row>
    <row r="165" customFormat="false" ht="15" hidden="false" customHeight="false" outlineLevel="0" collapsed="false">
      <c r="A165" s="2" t="s">
        <v>168</v>
      </c>
      <c r="B165" s="2" t="s">
        <v>169</v>
      </c>
      <c r="C165" s="2" t="s">
        <v>67</v>
      </c>
      <c r="D165" s="2" t="s">
        <v>23</v>
      </c>
      <c r="E165" s="2" t="s">
        <v>34</v>
      </c>
      <c r="F165" s="2" t="s">
        <v>35</v>
      </c>
      <c r="G165" s="4" t="n">
        <v>1</v>
      </c>
      <c r="H165" s="5" t="n">
        <v>4</v>
      </c>
      <c r="I165" s="6" t="n">
        <f aca="false">IF(H165="","",G165*H165)</f>
        <v>4</v>
      </c>
      <c r="J165" s="2" t="s">
        <v>36</v>
      </c>
    </row>
    <row r="166" customFormat="false" ht="15" hidden="false" customHeight="false" outlineLevel="0" collapsed="false">
      <c r="A166" s="2" t="s">
        <v>168</v>
      </c>
      <c r="B166" s="2" t="s">
        <v>169</v>
      </c>
      <c r="C166" s="2" t="s">
        <v>67</v>
      </c>
      <c r="D166" s="2" t="s">
        <v>23</v>
      </c>
      <c r="E166" s="2" t="s">
        <v>37</v>
      </c>
      <c r="F166" s="2" t="s">
        <v>38</v>
      </c>
      <c r="G166" s="4" t="n">
        <v>1</v>
      </c>
      <c r="H166" s="5" t="n">
        <v>4.58</v>
      </c>
      <c r="I166" s="6" t="n">
        <f aca="false">IF(H166="","",G166*H166)</f>
        <v>4.58</v>
      </c>
      <c r="J166" s="2" t="s">
        <v>26</v>
      </c>
    </row>
    <row r="167" customFormat="false" ht="15" hidden="false" customHeight="false" outlineLevel="0" collapsed="false">
      <c r="A167" s="2" t="s">
        <v>168</v>
      </c>
      <c r="B167" s="2" t="s">
        <v>169</v>
      </c>
      <c r="C167" s="2" t="s">
        <v>67</v>
      </c>
      <c r="D167" s="2" t="s">
        <v>23</v>
      </c>
      <c r="E167" s="2" t="s">
        <v>39</v>
      </c>
      <c r="F167" s="2" t="s">
        <v>40</v>
      </c>
      <c r="G167" s="4" t="n">
        <v>1</v>
      </c>
      <c r="H167" s="5" t="n">
        <v>0.5</v>
      </c>
      <c r="I167" s="6" t="n">
        <f aca="false">IF(H167="","",G167*H167)</f>
        <v>0.5</v>
      </c>
      <c r="J167" s="2" t="s">
        <v>26</v>
      </c>
    </row>
    <row r="168" customFormat="false" ht="15" hidden="false" customHeight="false" outlineLevel="0" collapsed="false">
      <c r="A168" s="2" t="s">
        <v>168</v>
      </c>
      <c r="B168" s="2" t="s">
        <v>169</v>
      </c>
      <c r="C168" s="2" t="s">
        <v>67</v>
      </c>
      <c r="D168" s="2" t="s">
        <v>23</v>
      </c>
      <c r="E168" s="2" t="s">
        <v>41</v>
      </c>
      <c r="F168" s="2" t="s">
        <v>42</v>
      </c>
      <c r="G168" s="4" t="n">
        <v>1</v>
      </c>
      <c r="H168" s="5" t="n">
        <v>0.25</v>
      </c>
      <c r="I168" s="6" t="n">
        <f aca="false">IF(H168="","",G168*H168)</f>
        <v>0.25</v>
      </c>
      <c r="J168" s="2" t="s">
        <v>26</v>
      </c>
    </row>
    <row r="169" customFormat="false" ht="15" hidden="false" customHeight="false" outlineLevel="0" collapsed="false">
      <c r="A169" s="2" t="s">
        <v>168</v>
      </c>
      <c r="B169" s="2" t="s">
        <v>169</v>
      </c>
      <c r="C169" s="2" t="s">
        <v>67</v>
      </c>
      <c r="D169" s="2" t="s">
        <v>23</v>
      </c>
      <c r="E169" s="2" t="s">
        <v>43</v>
      </c>
      <c r="F169" s="2" t="s">
        <v>44</v>
      </c>
      <c r="G169" s="4" t="n">
        <v>1</v>
      </c>
      <c r="H169" s="5" t="n">
        <v>0.33</v>
      </c>
      <c r="I169" s="6" t="n">
        <f aca="false">IF(H169="","",G169*H169)</f>
        <v>0.33</v>
      </c>
      <c r="J169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11</v>
      </c>
      <c r="B1" s="3" t="s">
        <v>15</v>
      </c>
      <c r="C1" s="3" t="s">
        <v>16</v>
      </c>
    </row>
    <row r="2" customFormat="false" ht="15" hidden="false" customHeight="false" outlineLevel="0" collapsed="false">
      <c r="A2" s="2" t="s">
        <v>21</v>
      </c>
      <c r="B2" s="2" t="s">
        <v>25</v>
      </c>
      <c r="C2" s="2" t="n">
        <v>1</v>
      </c>
    </row>
    <row r="3" customFormat="false" ht="15" hidden="false" customHeight="false" outlineLevel="0" collapsed="false">
      <c r="A3" s="2" t="s">
        <v>21</v>
      </c>
      <c r="B3" s="2" t="s">
        <v>28</v>
      </c>
      <c r="C3" s="2" t="n">
        <v>1</v>
      </c>
    </row>
    <row r="4" customFormat="false" ht="15" hidden="false" customHeight="false" outlineLevel="0" collapsed="false">
      <c r="A4" s="2" t="s">
        <v>21</v>
      </c>
      <c r="B4" s="2" t="s">
        <v>31</v>
      </c>
      <c r="C4" s="2" t="n">
        <v>1</v>
      </c>
    </row>
    <row r="5" customFormat="false" ht="15" hidden="false" customHeight="false" outlineLevel="0" collapsed="false">
      <c r="A5" s="2" t="s">
        <v>21</v>
      </c>
      <c r="B5" s="2" t="s">
        <v>33</v>
      </c>
      <c r="C5" s="2" t="n">
        <v>1</v>
      </c>
    </row>
    <row r="6" customFormat="false" ht="15" hidden="false" customHeight="false" outlineLevel="0" collapsed="false">
      <c r="A6" s="2" t="s">
        <v>21</v>
      </c>
      <c r="B6" s="2" t="s">
        <v>35</v>
      </c>
      <c r="C6" s="2" t="n">
        <v>1</v>
      </c>
    </row>
    <row r="7" customFormat="false" ht="15" hidden="false" customHeight="false" outlineLevel="0" collapsed="false">
      <c r="A7" s="2" t="s">
        <v>21</v>
      </c>
      <c r="B7" s="2" t="s">
        <v>38</v>
      </c>
      <c r="C7" s="2" t="n">
        <v>1</v>
      </c>
    </row>
    <row r="8" customFormat="false" ht="15" hidden="false" customHeight="false" outlineLevel="0" collapsed="false">
      <c r="A8" s="2" t="s">
        <v>21</v>
      </c>
      <c r="B8" s="2" t="s">
        <v>40</v>
      </c>
      <c r="C8" s="2" t="n">
        <v>1</v>
      </c>
    </row>
    <row r="9" customFormat="false" ht="15" hidden="false" customHeight="false" outlineLevel="0" collapsed="false">
      <c r="A9" s="2" t="s">
        <v>21</v>
      </c>
      <c r="B9" s="2" t="s">
        <v>42</v>
      </c>
      <c r="C9" s="2" t="n">
        <v>1</v>
      </c>
    </row>
    <row r="10" customFormat="false" ht="15" hidden="false" customHeight="false" outlineLevel="0" collapsed="false">
      <c r="A10" s="2" t="s">
        <v>21</v>
      </c>
      <c r="B10" s="2" t="s">
        <v>44</v>
      </c>
      <c r="C10" s="2" t="n">
        <v>1</v>
      </c>
    </row>
    <row r="11" customFormat="false" ht="15" hidden="false" customHeight="false" outlineLevel="0" collapsed="false">
      <c r="A11" s="2" t="s">
        <v>45</v>
      </c>
      <c r="B11" s="2" t="s">
        <v>28</v>
      </c>
      <c r="C11" s="2" t="n">
        <v>1</v>
      </c>
    </row>
    <row r="12" customFormat="false" ht="15" hidden="false" customHeight="false" outlineLevel="0" collapsed="false">
      <c r="A12" s="2" t="s">
        <v>45</v>
      </c>
      <c r="B12" s="2" t="s">
        <v>31</v>
      </c>
      <c r="C12" s="2" t="n">
        <v>1</v>
      </c>
    </row>
    <row r="13" customFormat="false" ht="15" hidden="false" customHeight="false" outlineLevel="0" collapsed="false">
      <c r="A13" s="2" t="s">
        <v>45</v>
      </c>
      <c r="B13" s="2" t="s">
        <v>33</v>
      </c>
      <c r="C13" s="2" t="n">
        <v>1</v>
      </c>
    </row>
    <row r="14" customFormat="false" ht="15" hidden="false" customHeight="false" outlineLevel="0" collapsed="false">
      <c r="A14" s="2" t="s">
        <v>45</v>
      </c>
      <c r="B14" s="2" t="s">
        <v>35</v>
      </c>
      <c r="C14" s="2" t="n">
        <v>1</v>
      </c>
    </row>
    <row r="15" customFormat="false" ht="15" hidden="false" customHeight="false" outlineLevel="0" collapsed="false">
      <c r="A15" s="2" t="s">
        <v>45</v>
      </c>
      <c r="B15" s="2" t="s">
        <v>48</v>
      </c>
      <c r="C15" s="2" t="n">
        <v>1</v>
      </c>
    </row>
    <row r="16" customFormat="false" ht="15" hidden="false" customHeight="false" outlineLevel="0" collapsed="false">
      <c r="A16" s="2" t="s">
        <v>45</v>
      </c>
      <c r="B16" s="2" t="s">
        <v>38</v>
      </c>
      <c r="C16" s="2" t="n">
        <v>1</v>
      </c>
    </row>
    <row r="17" customFormat="false" ht="15" hidden="false" customHeight="false" outlineLevel="0" collapsed="false">
      <c r="A17" s="2" t="s">
        <v>45</v>
      </c>
      <c r="B17" s="2" t="s">
        <v>40</v>
      </c>
      <c r="C17" s="2" t="n">
        <v>1</v>
      </c>
    </row>
    <row r="18" customFormat="false" ht="15" hidden="false" customHeight="false" outlineLevel="0" collapsed="false">
      <c r="A18" s="2" t="s">
        <v>45</v>
      </c>
      <c r="B18" s="2" t="s">
        <v>42</v>
      </c>
      <c r="C18" s="2" t="n">
        <v>1</v>
      </c>
    </row>
    <row r="19" customFormat="false" ht="15" hidden="false" customHeight="false" outlineLevel="0" collapsed="false">
      <c r="A19" s="2" t="s">
        <v>45</v>
      </c>
      <c r="B19" s="2" t="s">
        <v>44</v>
      </c>
      <c r="C19" s="2" t="n">
        <v>1</v>
      </c>
    </row>
    <row r="20" customFormat="false" ht="15" hidden="false" customHeight="false" outlineLevel="0" collapsed="false">
      <c r="A20" s="2" t="s">
        <v>50</v>
      </c>
      <c r="B20" s="2" t="s">
        <v>52</v>
      </c>
      <c r="C20" s="2" t="n">
        <v>1</v>
      </c>
    </row>
    <row r="21" customFormat="false" ht="15" hidden="false" customHeight="false" outlineLevel="0" collapsed="false">
      <c r="A21" s="2" t="s">
        <v>50</v>
      </c>
      <c r="B21" s="2" t="s">
        <v>54</v>
      </c>
      <c r="C21" s="2" t="n">
        <v>1</v>
      </c>
    </row>
    <row r="22" customFormat="false" ht="15" hidden="false" customHeight="false" outlineLevel="0" collapsed="false">
      <c r="A22" s="2" t="s">
        <v>50</v>
      </c>
      <c r="B22" s="2" t="s">
        <v>56</v>
      </c>
      <c r="C22" s="2" t="n">
        <v>2</v>
      </c>
    </row>
    <row r="23" customFormat="false" ht="15" hidden="false" customHeight="false" outlineLevel="0" collapsed="false">
      <c r="A23" s="2" t="s">
        <v>50</v>
      </c>
      <c r="B23" s="2" t="s">
        <v>58</v>
      </c>
      <c r="C23" s="2" t="n">
        <v>1</v>
      </c>
    </row>
    <row r="24" customFormat="false" ht="15" hidden="false" customHeight="false" outlineLevel="0" collapsed="false">
      <c r="A24" s="2" t="s">
        <v>50</v>
      </c>
      <c r="B24" s="2" t="s">
        <v>60</v>
      </c>
      <c r="C24" s="2" t="n">
        <v>1</v>
      </c>
    </row>
    <row r="25" customFormat="false" ht="15" hidden="false" customHeight="false" outlineLevel="0" collapsed="false">
      <c r="A25" s="2" t="s">
        <v>50</v>
      </c>
      <c r="B25" s="2" t="s">
        <v>35</v>
      </c>
      <c r="C25" s="2" t="n">
        <v>1</v>
      </c>
    </row>
    <row r="26" customFormat="false" ht="15" hidden="false" customHeight="false" outlineLevel="0" collapsed="false">
      <c r="A26" s="2" t="s">
        <v>50</v>
      </c>
      <c r="B26" s="2" t="s">
        <v>38</v>
      </c>
      <c r="C26" s="2" t="n">
        <v>1</v>
      </c>
    </row>
    <row r="27" customFormat="false" ht="15" hidden="false" customHeight="false" outlineLevel="0" collapsed="false">
      <c r="A27" s="2" t="s">
        <v>50</v>
      </c>
      <c r="B27" s="2" t="s">
        <v>40</v>
      </c>
      <c r="C27" s="2" t="n">
        <v>1</v>
      </c>
    </row>
    <row r="28" customFormat="false" ht="15" hidden="false" customHeight="false" outlineLevel="0" collapsed="false">
      <c r="A28" s="2" t="s">
        <v>50</v>
      </c>
      <c r="B28" s="2" t="s">
        <v>42</v>
      </c>
      <c r="C28" s="2" t="n">
        <v>1</v>
      </c>
    </row>
    <row r="29" customFormat="false" ht="15" hidden="false" customHeight="false" outlineLevel="0" collapsed="false">
      <c r="A29" s="2" t="s">
        <v>50</v>
      </c>
      <c r="B29" s="2" t="s">
        <v>44</v>
      </c>
      <c r="C29" s="2" t="n">
        <v>1</v>
      </c>
    </row>
    <row r="30" customFormat="false" ht="15" hidden="false" customHeight="false" outlineLevel="0" collapsed="false">
      <c r="A30" s="2" t="s">
        <v>61</v>
      </c>
      <c r="B30" s="2" t="s">
        <v>52</v>
      </c>
      <c r="C30" s="2" t="n">
        <v>1</v>
      </c>
    </row>
    <row r="31" customFormat="false" ht="15" hidden="false" customHeight="false" outlineLevel="0" collapsed="false">
      <c r="A31" s="2" t="s">
        <v>61</v>
      </c>
      <c r="B31" s="2" t="s">
        <v>54</v>
      </c>
      <c r="C31" s="2" t="n">
        <v>1</v>
      </c>
    </row>
    <row r="32" customFormat="false" ht="15" hidden="false" customHeight="false" outlineLevel="0" collapsed="false">
      <c r="A32" s="2" t="s">
        <v>61</v>
      </c>
      <c r="B32" s="2" t="s">
        <v>56</v>
      </c>
      <c r="C32" s="2" t="n">
        <v>2</v>
      </c>
    </row>
    <row r="33" customFormat="false" ht="15" hidden="false" customHeight="false" outlineLevel="0" collapsed="false">
      <c r="A33" s="2" t="s">
        <v>61</v>
      </c>
      <c r="B33" s="2" t="s">
        <v>58</v>
      </c>
      <c r="C33" s="2" t="n">
        <v>1</v>
      </c>
    </row>
    <row r="34" customFormat="false" ht="15" hidden="false" customHeight="false" outlineLevel="0" collapsed="false">
      <c r="A34" s="2" t="s">
        <v>61</v>
      </c>
      <c r="B34" s="2" t="s">
        <v>60</v>
      </c>
      <c r="C34" s="2" t="n">
        <v>1</v>
      </c>
    </row>
    <row r="35" customFormat="false" ht="15" hidden="false" customHeight="false" outlineLevel="0" collapsed="false">
      <c r="A35" s="2" t="s">
        <v>61</v>
      </c>
      <c r="B35" s="2" t="s">
        <v>35</v>
      </c>
      <c r="C35" s="2" t="n">
        <v>1</v>
      </c>
    </row>
    <row r="36" customFormat="false" ht="15" hidden="false" customHeight="false" outlineLevel="0" collapsed="false">
      <c r="A36" s="2" t="s">
        <v>61</v>
      </c>
      <c r="B36" s="2" t="s">
        <v>64</v>
      </c>
      <c r="C36" s="2" t="n">
        <v>1</v>
      </c>
    </row>
    <row r="37" customFormat="false" ht="15" hidden="false" customHeight="false" outlineLevel="0" collapsed="false">
      <c r="A37" s="2" t="s">
        <v>61</v>
      </c>
      <c r="B37" s="2" t="s">
        <v>38</v>
      </c>
      <c r="C37" s="2" t="n">
        <v>1</v>
      </c>
    </row>
    <row r="38" customFormat="false" ht="15" hidden="false" customHeight="false" outlineLevel="0" collapsed="false">
      <c r="A38" s="2" t="s">
        <v>61</v>
      </c>
      <c r="B38" s="2" t="s">
        <v>40</v>
      </c>
      <c r="C38" s="2" t="n">
        <v>1</v>
      </c>
    </row>
    <row r="39" customFormat="false" ht="15" hidden="false" customHeight="false" outlineLevel="0" collapsed="false">
      <c r="A39" s="2" t="s">
        <v>61</v>
      </c>
      <c r="B39" s="2" t="s">
        <v>42</v>
      </c>
      <c r="C39" s="2" t="n">
        <v>1</v>
      </c>
    </row>
    <row r="40" customFormat="false" ht="15" hidden="false" customHeight="false" outlineLevel="0" collapsed="false">
      <c r="A40" s="2" t="s">
        <v>61</v>
      </c>
      <c r="B40" s="2" t="s">
        <v>44</v>
      </c>
      <c r="C40" s="2" t="n">
        <v>1</v>
      </c>
    </row>
    <row r="41" customFormat="false" ht="15" hidden="false" customHeight="false" outlineLevel="0" collapsed="false">
      <c r="A41" s="2" t="s">
        <v>66</v>
      </c>
      <c r="B41" s="2" t="s">
        <v>70</v>
      </c>
      <c r="C41" s="2" t="n">
        <v>1</v>
      </c>
    </row>
    <row r="42" customFormat="false" ht="15" hidden="false" customHeight="false" outlineLevel="0" collapsed="false">
      <c r="A42" s="2" t="s">
        <v>66</v>
      </c>
      <c r="B42" s="2" t="s">
        <v>72</v>
      </c>
      <c r="C42" s="2" t="n">
        <v>1</v>
      </c>
    </row>
    <row r="43" customFormat="false" ht="15" hidden="false" customHeight="false" outlineLevel="0" collapsed="false">
      <c r="A43" s="2" t="s">
        <v>66</v>
      </c>
      <c r="B43" s="2" t="s">
        <v>74</v>
      </c>
      <c r="C43" s="2" t="n">
        <v>1</v>
      </c>
    </row>
    <row r="44" customFormat="false" ht="15" hidden="false" customHeight="false" outlineLevel="0" collapsed="false">
      <c r="A44" s="2" t="s">
        <v>66</v>
      </c>
      <c r="B44" s="2" t="s">
        <v>76</v>
      </c>
      <c r="C44" s="2" t="n">
        <v>1</v>
      </c>
    </row>
    <row r="45" customFormat="false" ht="15" hidden="false" customHeight="false" outlineLevel="0" collapsed="false">
      <c r="A45" s="2" t="s">
        <v>66</v>
      </c>
      <c r="B45" s="2" t="s">
        <v>78</v>
      </c>
      <c r="C45" s="2" t="n">
        <v>1</v>
      </c>
    </row>
    <row r="46" customFormat="false" ht="15" hidden="false" customHeight="false" outlineLevel="0" collapsed="false">
      <c r="A46" s="2" t="s">
        <v>66</v>
      </c>
      <c r="B46" s="2" t="s">
        <v>80</v>
      </c>
      <c r="C46" s="2" t="n">
        <v>2</v>
      </c>
    </row>
    <row r="47" customFormat="false" ht="15" hidden="false" customHeight="false" outlineLevel="0" collapsed="false">
      <c r="A47" s="2" t="s">
        <v>66</v>
      </c>
      <c r="B47" s="2" t="s">
        <v>35</v>
      </c>
      <c r="C47" s="2" t="n">
        <v>1</v>
      </c>
    </row>
    <row r="48" customFormat="false" ht="15" hidden="false" customHeight="false" outlineLevel="0" collapsed="false">
      <c r="A48" s="2" t="s">
        <v>66</v>
      </c>
      <c r="B48" s="2" t="s">
        <v>38</v>
      </c>
      <c r="C48" s="2" t="n">
        <v>1</v>
      </c>
    </row>
    <row r="49" customFormat="false" ht="15" hidden="false" customHeight="false" outlineLevel="0" collapsed="false">
      <c r="A49" s="2" t="s">
        <v>66</v>
      </c>
      <c r="B49" s="2" t="s">
        <v>40</v>
      </c>
      <c r="C49" s="2" t="n">
        <v>1</v>
      </c>
    </row>
    <row r="50" customFormat="false" ht="15" hidden="false" customHeight="false" outlineLevel="0" collapsed="false">
      <c r="A50" s="2" t="s">
        <v>66</v>
      </c>
      <c r="B50" s="2" t="s">
        <v>82</v>
      </c>
      <c r="C50" s="2" t="n">
        <v>1</v>
      </c>
    </row>
    <row r="51" customFormat="false" ht="15" hidden="false" customHeight="false" outlineLevel="0" collapsed="false">
      <c r="A51" s="2" t="s">
        <v>66</v>
      </c>
      <c r="B51" s="2" t="s">
        <v>84</v>
      </c>
      <c r="C51" s="2" t="n">
        <v>1</v>
      </c>
    </row>
    <row r="52" customFormat="false" ht="15" hidden="false" customHeight="false" outlineLevel="0" collapsed="false">
      <c r="A52" s="2" t="s">
        <v>86</v>
      </c>
      <c r="B52" s="2" t="s">
        <v>78</v>
      </c>
      <c r="C52" s="2" t="n">
        <v>1</v>
      </c>
    </row>
    <row r="53" customFormat="false" ht="15" hidden="false" customHeight="false" outlineLevel="0" collapsed="false">
      <c r="A53" s="2" t="s">
        <v>86</v>
      </c>
      <c r="B53" s="2" t="s">
        <v>88</v>
      </c>
      <c r="C53" s="2" t="n">
        <v>1</v>
      </c>
    </row>
    <row r="54" customFormat="false" ht="15" hidden="false" customHeight="false" outlineLevel="0" collapsed="false">
      <c r="A54" s="2" t="s">
        <v>86</v>
      </c>
      <c r="B54" s="2" t="s">
        <v>90</v>
      </c>
      <c r="C54" s="2" t="n">
        <v>1</v>
      </c>
    </row>
    <row r="55" customFormat="false" ht="15" hidden="false" customHeight="false" outlineLevel="0" collapsed="false">
      <c r="A55" s="2" t="s">
        <v>86</v>
      </c>
      <c r="B55" s="2" t="s">
        <v>76</v>
      </c>
      <c r="C55" s="2" t="n">
        <v>1</v>
      </c>
    </row>
    <row r="56" customFormat="false" ht="15" hidden="false" customHeight="false" outlineLevel="0" collapsed="false">
      <c r="A56" s="2" t="s">
        <v>86</v>
      </c>
      <c r="B56" s="2" t="s">
        <v>92</v>
      </c>
      <c r="C56" s="2" t="n">
        <v>1</v>
      </c>
    </row>
    <row r="57" customFormat="false" ht="15" hidden="false" customHeight="false" outlineLevel="0" collapsed="false">
      <c r="A57" s="2" t="s">
        <v>86</v>
      </c>
      <c r="B57" s="2" t="s">
        <v>94</v>
      </c>
      <c r="C57" s="2" t="n">
        <v>1</v>
      </c>
    </row>
    <row r="58" customFormat="false" ht="15" hidden="false" customHeight="false" outlineLevel="0" collapsed="false">
      <c r="A58" s="2" t="s">
        <v>86</v>
      </c>
      <c r="B58" s="2" t="s">
        <v>38</v>
      </c>
      <c r="C58" s="2" t="n">
        <v>1</v>
      </c>
    </row>
    <row r="59" customFormat="false" ht="15" hidden="false" customHeight="false" outlineLevel="0" collapsed="false">
      <c r="A59" s="2" t="s">
        <v>86</v>
      </c>
      <c r="B59" s="2" t="s">
        <v>40</v>
      </c>
      <c r="C59" s="2" t="n">
        <v>1</v>
      </c>
    </row>
    <row r="60" customFormat="false" ht="15" hidden="false" customHeight="false" outlineLevel="0" collapsed="false">
      <c r="A60" s="2" t="s">
        <v>86</v>
      </c>
      <c r="B60" s="2" t="s">
        <v>42</v>
      </c>
      <c r="C60" s="2" t="n">
        <v>1</v>
      </c>
    </row>
    <row r="61" customFormat="false" ht="15" hidden="false" customHeight="false" outlineLevel="0" collapsed="false">
      <c r="A61" s="2" t="s">
        <v>86</v>
      </c>
      <c r="B61" s="2" t="s">
        <v>44</v>
      </c>
      <c r="C61" s="2" t="n">
        <v>1</v>
      </c>
    </row>
    <row r="62" customFormat="false" ht="15" hidden="false" customHeight="false" outlineLevel="0" collapsed="false">
      <c r="A62" s="2" t="s">
        <v>96</v>
      </c>
      <c r="B62" s="2" t="s">
        <v>98</v>
      </c>
      <c r="C62" s="2" t="n">
        <v>1</v>
      </c>
    </row>
    <row r="63" customFormat="false" ht="15" hidden="false" customHeight="false" outlineLevel="0" collapsed="false">
      <c r="A63" s="2" t="s">
        <v>96</v>
      </c>
      <c r="B63" s="2" t="s">
        <v>54</v>
      </c>
      <c r="C63" s="2" t="n">
        <v>1</v>
      </c>
    </row>
    <row r="64" customFormat="false" ht="15" hidden="false" customHeight="false" outlineLevel="0" collapsed="false">
      <c r="A64" s="2" t="s">
        <v>96</v>
      </c>
      <c r="B64" s="2" t="s">
        <v>100</v>
      </c>
      <c r="C64" s="2" t="n">
        <v>1</v>
      </c>
    </row>
    <row r="65" customFormat="false" ht="15" hidden="false" customHeight="false" outlineLevel="0" collapsed="false">
      <c r="A65" s="2" t="s">
        <v>96</v>
      </c>
      <c r="B65" s="2" t="s">
        <v>58</v>
      </c>
      <c r="C65" s="2" t="n">
        <v>1</v>
      </c>
    </row>
    <row r="66" customFormat="false" ht="15" hidden="false" customHeight="false" outlineLevel="0" collapsed="false">
      <c r="A66" s="2" t="s">
        <v>96</v>
      </c>
      <c r="B66" s="2" t="s">
        <v>102</v>
      </c>
      <c r="C66" s="2" t="n">
        <v>1</v>
      </c>
    </row>
    <row r="67" customFormat="false" ht="15" hidden="false" customHeight="false" outlineLevel="0" collapsed="false">
      <c r="A67" s="2" t="s">
        <v>96</v>
      </c>
      <c r="B67" s="2" t="s">
        <v>38</v>
      </c>
      <c r="C67" s="2" t="n">
        <v>1</v>
      </c>
    </row>
    <row r="68" customFormat="false" ht="15" hidden="false" customHeight="false" outlineLevel="0" collapsed="false">
      <c r="A68" s="2" t="s">
        <v>96</v>
      </c>
      <c r="B68" s="2" t="s">
        <v>40</v>
      </c>
      <c r="C68" s="2" t="n">
        <v>1</v>
      </c>
    </row>
    <row r="69" customFormat="false" ht="15" hidden="false" customHeight="false" outlineLevel="0" collapsed="false">
      <c r="A69" s="2" t="s">
        <v>96</v>
      </c>
      <c r="B69" s="2" t="s">
        <v>82</v>
      </c>
      <c r="C69" s="2" t="n">
        <v>1</v>
      </c>
    </row>
    <row r="70" customFormat="false" ht="15" hidden="false" customHeight="false" outlineLevel="0" collapsed="false">
      <c r="A70" s="2" t="s">
        <v>96</v>
      </c>
      <c r="B70" s="2" t="s">
        <v>84</v>
      </c>
      <c r="C70" s="2" t="n">
        <v>1</v>
      </c>
    </row>
    <row r="71" customFormat="false" ht="15" hidden="false" customHeight="false" outlineLevel="0" collapsed="false">
      <c r="A71" s="2" t="s">
        <v>104</v>
      </c>
      <c r="B71" s="2" t="s">
        <v>107</v>
      </c>
      <c r="C71" s="2" t="n">
        <v>2</v>
      </c>
    </row>
    <row r="72" customFormat="false" ht="15" hidden="false" customHeight="false" outlineLevel="0" collapsed="false">
      <c r="A72" s="2" t="s">
        <v>104</v>
      </c>
      <c r="B72" s="2" t="s">
        <v>109</v>
      </c>
      <c r="C72" s="2" t="n">
        <v>2</v>
      </c>
    </row>
    <row r="73" customFormat="false" ht="15" hidden="false" customHeight="false" outlineLevel="0" collapsed="false">
      <c r="A73" s="2" t="s">
        <v>104</v>
      </c>
      <c r="B73" s="2" t="s">
        <v>94</v>
      </c>
      <c r="C73" s="2" t="n">
        <v>1</v>
      </c>
    </row>
    <row r="74" customFormat="false" ht="15" hidden="false" customHeight="false" outlineLevel="0" collapsed="false">
      <c r="A74" s="2" t="s">
        <v>104</v>
      </c>
      <c r="B74" s="2" t="s">
        <v>111</v>
      </c>
      <c r="C74" s="2" t="n">
        <v>1</v>
      </c>
    </row>
    <row r="75" customFormat="false" ht="15" hidden="false" customHeight="false" outlineLevel="0" collapsed="false">
      <c r="A75" s="2" t="s">
        <v>104</v>
      </c>
      <c r="B75" s="2" t="s">
        <v>102</v>
      </c>
      <c r="C75" s="2" t="n">
        <v>1</v>
      </c>
    </row>
    <row r="76" customFormat="false" ht="15" hidden="false" customHeight="false" outlineLevel="0" collapsed="false">
      <c r="A76" s="2" t="s">
        <v>104</v>
      </c>
      <c r="B76" s="2" t="s">
        <v>113</v>
      </c>
      <c r="C76" s="2" t="n">
        <v>1</v>
      </c>
    </row>
    <row r="77" customFormat="false" ht="15" hidden="false" customHeight="false" outlineLevel="0" collapsed="false">
      <c r="A77" s="2" t="s">
        <v>104</v>
      </c>
      <c r="B77" s="2" t="s">
        <v>40</v>
      </c>
      <c r="C77" s="2" t="n">
        <v>1</v>
      </c>
    </row>
    <row r="78" customFormat="false" ht="15" hidden="false" customHeight="false" outlineLevel="0" collapsed="false">
      <c r="A78" s="2" t="s">
        <v>104</v>
      </c>
      <c r="B78" s="2" t="s">
        <v>82</v>
      </c>
      <c r="C78" s="2" t="n">
        <v>1</v>
      </c>
    </row>
    <row r="79" customFormat="false" ht="15" hidden="false" customHeight="false" outlineLevel="0" collapsed="false">
      <c r="A79" s="2" t="s">
        <v>104</v>
      </c>
      <c r="B79" s="2" t="s">
        <v>84</v>
      </c>
      <c r="C79" s="2" t="n">
        <v>1</v>
      </c>
    </row>
    <row r="80" customFormat="false" ht="15" hidden="false" customHeight="false" outlineLevel="0" collapsed="false">
      <c r="A80" s="2" t="s">
        <v>115</v>
      </c>
      <c r="B80" s="2" t="s">
        <v>107</v>
      </c>
      <c r="C80" s="2" t="n">
        <v>2</v>
      </c>
    </row>
    <row r="81" customFormat="false" ht="15" hidden="false" customHeight="false" outlineLevel="0" collapsed="false">
      <c r="A81" s="2" t="s">
        <v>115</v>
      </c>
      <c r="B81" s="2" t="s">
        <v>94</v>
      </c>
      <c r="C81" s="2" t="n">
        <v>1</v>
      </c>
    </row>
    <row r="82" customFormat="false" ht="15" hidden="false" customHeight="false" outlineLevel="0" collapsed="false">
      <c r="A82" s="2" t="s">
        <v>115</v>
      </c>
      <c r="B82" s="2" t="s">
        <v>111</v>
      </c>
      <c r="C82" s="2" t="n">
        <v>1</v>
      </c>
    </row>
    <row r="83" customFormat="false" ht="15" hidden="false" customHeight="false" outlineLevel="0" collapsed="false">
      <c r="A83" s="2" t="s">
        <v>115</v>
      </c>
      <c r="B83" s="2" t="s">
        <v>102</v>
      </c>
      <c r="C83" s="2" t="n">
        <v>1</v>
      </c>
    </row>
    <row r="84" customFormat="false" ht="15" hidden="false" customHeight="false" outlineLevel="0" collapsed="false">
      <c r="A84" s="2" t="s">
        <v>115</v>
      </c>
      <c r="B84" s="2" t="s">
        <v>118</v>
      </c>
      <c r="C84" s="2" t="n">
        <v>2</v>
      </c>
    </row>
    <row r="85" customFormat="false" ht="15" hidden="false" customHeight="false" outlineLevel="0" collapsed="false">
      <c r="A85" s="2" t="s">
        <v>115</v>
      </c>
      <c r="B85" s="2" t="s">
        <v>113</v>
      </c>
      <c r="C85" s="2" t="n">
        <v>1</v>
      </c>
    </row>
    <row r="86" customFormat="false" ht="15" hidden="false" customHeight="false" outlineLevel="0" collapsed="false">
      <c r="A86" s="2" t="s">
        <v>115</v>
      </c>
      <c r="B86" s="2" t="s">
        <v>40</v>
      </c>
      <c r="C86" s="2" t="n">
        <v>1</v>
      </c>
    </row>
    <row r="87" customFormat="false" ht="15" hidden="false" customHeight="false" outlineLevel="0" collapsed="false">
      <c r="A87" s="2" t="s">
        <v>115</v>
      </c>
      <c r="B87" s="2" t="s">
        <v>82</v>
      </c>
      <c r="C87" s="2" t="n">
        <v>1</v>
      </c>
    </row>
    <row r="88" customFormat="false" ht="15" hidden="false" customHeight="false" outlineLevel="0" collapsed="false">
      <c r="A88" s="2" t="s">
        <v>115</v>
      </c>
      <c r="B88" s="2" t="s">
        <v>84</v>
      </c>
      <c r="C88" s="2" t="n">
        <v>1</v>
      </c>
    </row>
    <row r="89" customFormat="false" ht="15" hidden="false" customHeight="false" outlineLevel="0" collapsed="false">
      <c r="A89" s="2" t="s">
        <v>120</v>
      </c>
      <c r="B89" s="2" t="s">
        <v>123</v>
      </c>
      <c r="C89" s="2" t="n">
        <v>1</v>
      </c>
    </row>
    <row r="90" customFormat="false" ht="15" hidden="false" customHeight="false" outlineLevel="0" collapsed="false">
      <c r="A90" s="2" t="s">
        <v>120</v>
      </c>
      <c r="B90" s="2" t="s">
        <v>125</v>
      </c>
      <c r="C90" s="2" t="n">
        <v>1</v>
      </c>
    </row>
    <row r="91" customFormat="false" ht="15" hidden="false" customHeight="false" outlineLevel="0" collapsed="false">
      <c r="A91" s="2" t="s">
        <v>120</v>
      </c>
      <c r="B91" s="2" t="s">
        <v>107</v>
      </c>
      <c r="C91" s="2" t="n">
        <v>1</v>
      </c>
    </row>
    <row r="92" customFormat="false" ht="15" hidden="false" customHeight="false" outlineLevel="0" collapsed="false">
      <c r="A92" s="2" t="s">
        <v>120</v>
      </c>
      <c r="B92" s="2" t="s">
        <v>35</v>
      </c>
      <c r="C92" s="2" t="n">
        <v>1</v>
      </c>
    </row>
    <row r="93" customFormat="false" ht="15" hidden="false" customHeight="false" outlineLevel="0" collapsed="false">
      <c r="A93" s="2" t="s">
        <v>120</v>
      </c>
      <c r="B93" s="2" t="s">
        <v>127</v>
      </c>
      <c r="C93" s="2" t="n">
        <v>1</v>
      </c>
    </row>
    <row r="94" customFormat="false" ht="15" hidden="false" customHeight="false" outlineLevel="0" collapsed="false">
      <c r="A94" s="2" t="s">
        <v>120</v>
      </c>
      <c r="B94" s="2" t="s">
        <v>40</v>
      </c>
      <c r="C94" s="2" t="n">
        <v>1</v>
      </c>
    </row>
    <row r="95" customFormat="false" ht="15" hidden="false" customHeight="false" outlineLevel="0" collapsed="false">
      <c r="A95" s="2" t="s">
        <v>120</v>
      </c>
      <c r="B95" s="2" t="s">
        <v>42</v>
      </c>
      <c r="C95" s="2" t="n">
        <v>1</v>
      </c>
    </row>
    <row r="96" customFormat="false" ht="15" hidden="false" customHeight="false" outlineLevel="0" collapsed="false">
      <c r="A96" s="2" t="s">
        <v>120</v>
      </c>
      <c r="B96" s="2" t="s">
        <v>44</v>
      </c>
      <c r="C96" s="2" t="n">
        <v>1</v>
      </c>
    </row>
    <row r="97" customFormat="false" ht="15" hidden="false" customHeight="false" outlineLevel="0" collapsed="false">
      <c r="A97" s="2" t="s">
        <v>128</v>
      </c>
      <c r="B97" s="2" t="s">
        <v>125</v>
      </c>
      <c r="C97" s="2" t="n">
        <v>1</v>
      </c>
    </row>
    <row r="98" customFormat="false" ht="15" hidden="false" customHeight="false" outlineLevel="0" collapsed="false">
      <c r="A98" s="2" t="s">
        <v>128</v>
      </c>
      <c r="B98" s="2" t="s">
        <v>107</v>
      </c>
      <c r="C98" s="2" t="n">
        <v>1</v>
      </c>
    </row>
    <row r="99" customFormat="false" ht="15" hidden="false" customHeight="false" outlineLevel="0" collapsed="false">
      <c r="A99" s="2" t="s">
        <v>128</v>
      </c>
      <c r="B99" s="2" t="s">
        <v>35</v>
      </c>
      <c r="C99" s="2" t="n">
        <v>1</v>
      </c>
    </row>
    <row r="100" customFormat="false" ht="15" hidden="false" customHeight="false" outlineLevel="0" collapsed="false">
      <c r="A100" s="2" t="s">
        <v>128</v>
      </c>
      <c r="B100" s="2" t="s">
        <v>131</v>
      </c>
      <c r="C100" s="2" t="n">
        <v>1</v>
      </c>
    </row>
    <row r="101" customFormat="false" ht="15" hidden="false" customHeight="false" outlineLevel="0" collapsed="false">
      <c r="A101" s="2" t="s">
        <v>128</v>
      </c>
      <c r="B101" s="2" t="s">
        <v>127</v>
      </c>
      <c r="C101" s="2" t="n">
        <v>1</v>
      </c>
    </row>
    <row r="102" customFormat="false" ht="15" hidden="false" customHeight="false" outlineLevel="0" collapsed="false">
      <c r="A102" s="2" t="s">
        <v>128</v>
      </c>
      <c r="B102" s="2" t="s">
        <v>40</v>
      </c>
      <c r="C102" s="2" t="n">
        <v>1</v>
      </c>
    </row>
    <row r="103" customFormat="false" ht="15" hidden="false" customHeight="false" outlineLevel="0" collapsed="false">
      <c r="A103" s="2" t="s">
        <v>128</v>
      </c>
      <c r="B103" s="2" t="s">
        <v>42</v>
      </c>
      <c r="C103" s="2" t="n">
        <v>1</v>
      </c>
    </row>
    <row r="104" customFormat="false" ht="15" hidden="false" customHeight="false" outlineLevel="0" collapsed="false">
      <c r="A104" s="2" t="s">
        <v>128</v>
      </c>
      <c r="B104" s="2" t="s">
        <v>44</v>
      </c>
      <c r="C104" s="2" t="n">
        <v>1</v>
      </c>
    </row>
    <row r="105" customFormat="false" ht="15" hidden="false" customHeight="false" outlineLevel="0" collapsed="false">
      <c r="A105" s="2" t="s">
        <v>133</v>
      </c>
      <c r="B105" s="2" t="s">
        <v>102</v>
      </c>
      <c r="C105" s="2" t="n">
        <v>1</v>
      </c>
    </row>
    <row r="106" customFormat="false" ht="15" hidden="false" customHeight="false" outlineLevel="0" collapsed="false">
      <c r="A106" s="2" t="s">
        <v>133</v>
      </c>
      <c r="B106" s="2" t="s">
        <v>94</v>
      </c>
      <c r="C106" s="2" t="n">
        <v>1</v>
      </c>
    </row>
    <row r="107" customFormat="false" ht="15" hidden="false" customHeight="false" outlineLevel="0" collapsed="false">
      <c r="A107" s="2" t="s">
        <v>133</v>
      </c>
      <c r="B107" s="2" t="s">
        <v>135</v>
      </c>
      <c r="C107" s="2" t="n">
        <v>1</v>
      </c>
    </row>
    <row r="108" customFormat="false" ht="15" hidden="false" customHeight="false" outlineLevel="0" collapsed="false">
      <c r="A108" s="2" t="s">
        <v>133</v>
      </c>
      <c r="B108" s="2" t="s">
        <v>88</v>
      </c>
      <c r="C108" s="2" t="n">
        <v>1</v>
      </c>
    </row>
    <row r="109" customFormat="false" ht="15" hidden="false" customHeight="false" outlineLevel="0" collapsed="false">
      <c r="A109" s="2" t="s">
        <v>133</v>
      </c>
      <c r="B109" s="2" t="s">
        <v>137</v>
      </c>
      <c r="C109" s="2" t="n">
        <v>2</v>
      </c>
    </row>
    <row r="110" customFormat="false" ht="15" hidden="false" customHeight="false" outlineLevel="0" collapsed="false">
      <c r="A110" s="2" t="s">
        <v>133</v>
      </c>
      <c r="B110" s="2" t="s">
        <v>113</v>
      </c>
      <c r="C110" s="2" t="n">
        <v>1</v>
      </c>
    </row>
    <row r="111" customFormat="false" ht="15" hidden="false" customHeight="false" outlineLevel="0" collapsed="false">
      <c r="A111" s="2" t="s">
        <v>133</v>
      </c>
      <c r="B111" s="2" t="s">
        <v>40</v>
      </c>
      <c r="C111" s="2" t="n">
        <v>1</v>
      </c>
    </row>
    <row r="112" customFormat="false" ht="15" hidden="false" customHeight="false" outlineLevel="0" collapsed="false">
      <c r="A112" s="2" t="s">
        <v>133</v>
      </c>
      <c r="B112" s="2" t="s">
        <v>82</v>
      </c>
      <c r="C112" s="2" t="n">
        <v>1</v>
      </c>
    </row>
    <row r="113" customFormat="false" ht="15" hidden="false" customHeight="false" outlineLevel="0" collapsed="false">
      <c r="A113" s="2" t="s">
        <v>133</v>
      </c>
      <c r="B113" s="2" t="s">
        <v>84</v>
      </c>
      <c r="C113" s="2" t="n">
        <v>1</v>
      </c>
    </row>
    <row r="114" customFormat="false" ht="15" hidden="false" customHeight="false" outlineLevel="0" collapsed="false">
      <c r="A114" s="2" t="s">
        <v>139</v>
      </c>
      <c r="B114" s="2" t="s">
        <v>25</v>
      </c>
      <c r="C114" s="2" t="n">
        <v>1</v>
      </c>
    </row>
    <row r="115" customFormat="false" ht="15" hidden="false" customHeight="false" outlineLevel="0" collapsed="false">
      <c r="A115" s="2" t="s">
        <v>139</v>
      </c>
      <c r="B115" s="2" t="s">
        <v>141</v>
      </c>
      <c r="C115" s="2" t="n">
        <v>2</v>
      </c>
    </row>
    <row r="116" customFormat="false" ht="15" hidden="false" customHeight="false" outlineLevel="0" collapsed="false">
      <c r="A116" s="2" t="s">
        <v>139</v>
      </c>
      <c r="B116" s="2" t="s">
        <v>143</v>
      </c>
      <c r="C116" s="2" t="n">
        <v>1</v>
      </c>
    </row>
    <row r="117" customFormat="false" ht="15" hidden="false" customHeight="false" outlineLevel="0" collapsed="false">
      <c r="A117" s="2" t="s">
        <v>139</v>
      </c>
      <c r="B117" s="2" t="s">
        <v>145</v>
      </c>
      <c r="C117" s="2" t="n">
        <v>1</v>
      </c>
    </row>
    <row r="118" customFormat="false" ht="15" hidden="false" customHeight="false" outlineLevel="0" collapsed="false">
      <c r="A118" s="2" t="s">
        <v>139</v>
      </c>
      <c r="B118" s="2" t="s">
        <v>88</v>
      </c>
      <c r="C118" s="2" t="n">
        <v>1</v>
      </c>
    </row>
    <row r="119" customFormat="false" ht="15" hidden="false" customHeight="false" outlineLevel="0" collapsed="false">
      <c r="A119" s="2" t="s">
        <v>139</v>
      </c>
      <c r="B119" s="2" t="s">
        <v>147</v>
      </c>
      <c r="C119" s="2" t="n">
        <v>1</v>
      </c>
    </row>
    <row r="120" customFormat="false" ht="15" hidden="false" customHeight="false" outlineLevel="0" collapsed="false">
      <c r="A120" s="2" t="s">
        <v>139</v>
      </c>
      <c r="B120" s="2" t="s">
        <v>35</v>
      </c>
      <c r="C120" s="2" t="n">
        <v>1</v>
      </c>
    </row>
    <row r="121" customFormat="false" ht="15" hidden="false" customHeight="false" outlineLevel="0" collapsed="false">
      <c r="A121" s="2" t="s">
        <v>139</v>
      </c>
      <c r="B121" s="2" t="s">
        <v>38</v>
      </c>
      <c r="C121" s="2" t="n">
        <v>1</v>
      </c>
    </row>
    <row r="122" customFormat="false" ht="15" hidden="false" customHeight="false" outlineLevel="0" collapsed="false">
      <c r="A122" s="2" t="s">
        <v>139</v>
      </c>
      <c r="B122" s="2" t="s">
        <v>40</v>
      </c>
      <c r="C122" s="2" t="n">
        <v>1</v>
      </c>
    </row>
    <row r="123" customFormat="false" ht="15" hidden="false" customHeight="false" outlineLevel="0" collapsed="false">
      <c r="A123" s="2" t="s">
        <v>139</v>
      </c>
      <c r="B123" s="2" t="s">
        <v>42</v>
      </c>
      <c r="C123" s="2" t="n">
        <v>1</v>
      </c>
    </row>
    <row r="124" customFormat="false" ht="15" hidden="false" customHeight="false" outlineLevel="0" collapsed="false">
      <c r="A124" s="2" t="s">
        <v>139</v>
      </c>
      <c r="B124" s="2" t="s">
        <v>44</v>
      </c>
      <c r="C124" s="2" t="n">
        <v>1</v>
      </c>
    </row>
    <row r="125" customFormat="false" ht="15" hidden="false" customHeight="false" outlineLevel="0" collapsed="false">
      <c r="A125" s="2" t="s">
        <v>149</v>
      </c>
      <c r="B125" s="2" t="s">
        <v>141</v>
      </c>
      <c r="C125" s="2" t="n">
        <v>2</v>
      </c>
    </row>
    <row r="126" customFormat="false" ht="15" hidden="false" customHeight="false" outlineLevel="0" collapsed="false">
      <c r="A126" s="2" t="s">
        <v>149</v>
      </c>
      <c r="B126" s="2" t="s">
        <v>143</v>
      </c>
      <c r="C126" s="2" t="n">
        <v>1</v>
      </c>
    </row>
    <row r="127" customFormat="false" ht="15" hidden="false" customHeight="false" outlineLevel="0" collapsed="false">
      <c r="A127" s="2" t="s">
        <v>149</v>
      </c>
      <c r="B127" s="2" t="s">
        <v>145</v>
      </c>
      <c r="C127" s="2" t="n">
        <v>1</v>
      </c>
    </row>
    <row r="128" customFormat="false" ht="15" hidden="false" customHeight="false" outlineLevel="0" collapsed="false">
      <c r="A128" s="2" t="s">
        <v>149</v>
      </c>
      <c r="B128" s="2" t="s">
        <v>88</v>
      </c>
      <c r="C128" s="2" t="n">
        <v>1</v>
      </c>
    </row>
    <row r="129" customFormat="false" ht="15" hidden="false" customHeight="false" outlineLevel="0" collapsed="false">
      <c r="A129" s="2" t="s">
        <v>149</v>
      </c>
      <c r="B129" s="2" t="s">
        <v>147</v>
      </c>
      <c r="C129" s="2" t="n">
        <v>1</v>
      </c>
    </row>
    <row r="130" customFormat="false" ht="15" hidden="false" customHeight="false" outlineLevel="0" collapsed="false">
      <c r="A130" s="2" t="s">
        <v>149</v>
      </c>
      <c r="B130" s="2" t="s">
        <v>35</v>
      </c>
      <c r="C130" s="2" t="n">
        <v>1</v>
      </c>
    </row>
    <row r="131" customFormat="false" ht="15" hidden="false" customHeight="false" outlineLevel="0" collapsed="false">
      <c r="A131" s="2" t="s">
        <v>149</v>
      </c>
      <c r="B131" s="2" t="s">
        <v>64</v>
      </c>
      <c r="C131" s="2" t="n">
        <v>1</v>
      </c>
    </row>
    <row r="132" customFormat="false" ht="15" hidden="false" customHeight="false" outlineLevel="0" collapsed="false">
      <c r="A132" s="2" t="s">
        <v>149</v>
      </c>
      <c r="B132" s="2" t="s">
        <v>151</v>
      </c>
      <c r="C132" s="2" t="n">
        <v>1</v>
      </c>
    </row>
    <row r="133" customFormat="false" ht="15" hidden="false" customHeight="false" outlineLevel="0" collapsed="false">
      <c r="A133" s="2" t="s">
        <v>149</v>
      </c>
      <c r="B133" s="2" t="s">
        <v>38</v>
      </c>
      <c r="C133" s="2" t="n">
        <v>1</v>
      </c>
    </row>
    <row r="134" customFormat="false" ht="15" hidden="false" customHeight="false" outlineLevel="0" collapsed="false">
      <c r="A134" s="2" t="s">
        <v>149</v>
      </c>
      <c r="B134" s="2" t="s">
        <v>40</v>
      </c>
      <c r="C134" s="2" t="n">
        <v>1</v>
      </c>
    </row>
    <row r="135" customFormat="false" ht="15" hidden="false" customHeight="false" outlineLevel="0" collapsed="false">
      <c r="A135" s="2" t="s">
        <v>149</v>
      </c>
      <c r="B135" s="2" t="s">
        <v>42</v>
      </c>
      <c r="C135" s="2" t="n">
        <v>1</v>
      </c>
    </row>
    <row r="136" customFormat="false" ht="15" hidden="false" customHeight="false" outlineLevel="0" collapsed="false">
      <c r="A136" s="2" t="s">
        <v>149</v>
      </c>
      <c r="B136" s="2" t="s">
        <v>44</v>
      </c>
      <c r="C136" s="2" t="n">
        <v>1</v>
      </c>
    </row>
    <row r="137" customFormat="false" ht="15" hidden="false" customHeight="false" outlineLevel="0" collapsed="false">
      <c r="A137" s="2" t="s">
        <v>153</v>
      </c>
      <c r="B137" s="2" t="s">
        <v>123</v>
      </c>
      <c r="C137" s="2" t="n">
        <v>1</v>
      </c>
    </row>
    <row r="138" customFormat="false" ht="15" hidden="false" customHeight="false" outlineLevel="0" collapsed="false">
      <c r="A138" s="2" t="s">
        <v>153</v>
      </c>
      <c r="B138" s="2" t="s">
        <v>155</v>
      </c>
      <c r="C138" s="2" t="n">
        <v>1</v>
      </c>
    </row>
    <row r="139" customFormat="false" ht="15" hidden="false" customHeight="false" outlineLevel="0" collapsed="false">
      <c r="A139" s="2" t="s">
        <v>153</v>
      </c>
      <c r="B139" s="2" t="s">
        <v>80</v>
      </c>
      <c r="C139" s="2" t="n">
        <v>2</v>
      </c>
    </row>
    <row r="140" customFormat="false" ht="15" hidden="false" customHeight="false" outlineLevel="0" collapsed="false">
      <c r="A140" s="2" t="s">
        <v>153</v>
      </c>
      <c r="B140" s="2" t="s">
        <v>143</v>
      </c>
      <c r="C140" s="2" t="n">
        <v>1</v>
      </c>
    </row>
    <row r="141" customFormat="false" ht="15" hidden="false" customHeight="false" outlineLevel="0" collapsed="false">
      <c r="A141" s="2" t="s">
        <v>153</v>
      </c>
      <c r="B141" s="2" t="s">
        <v>35</v>
      </c>
      <c r="C141" s="2" t="n">
        <v>1</v>
      </c>
    </row>
    <row r="142" customFormat="false" ht="15" hidden="false" customHeight="false" outlineLevel="0" collapsed="false">
      <c r="A142" s="2" t="s">
        <v>153</v>
      </c>
      <c r="B142" s="2" t="s">
        <v>38</v>
      </c>
      <c r="C142" s="2" t="n">
        <v>1</v>
      </c>
    </row>
    <row r="143" customFormat="false" ht="15" hidden="false" customHeight="false" outlineLevel="0" collapsed="false">
      <c r="A143" s="2" t="s">
        <v>153</v>
      </c>
      <c r="B143" s="2" t="s">
        <v>40</v>
      </c>
      <c r="C143" s="2" t="n">
        <v>1</v>
      </c>
    </row>
    <row r="144" customFormat="false" ht="15" hidden="false" customHeight="false" outlineLevel="0" collapsed="false">
      <c r="A144" s="2" t="s">
        <v>153</v>
      </c>
      <c r="B144" s="2" t="s">
        <v>42</v>
      </c>
      <c r="C144" s="2" t="n">
        <v>1</v>
      </c>
    </row>
    <row r="145" customFormat="false" ht="15" hidden="false" customHeight="false" outlineLevel="0" collapsed="false">
      <c r="A145" s="2" t="s">
        <v>153</v>
      </c>
      <c r="B145" s="2" t="s">
        <v>44</v>
      </c>
      <c r="C145" s="2" t="n">
        <v>1</v>
      </c>
    </row>
    <row r="146" customFormat="false" ht="15" hidden="false" customHeight="false" outlineLevel="0" collapsed="false">
      <c r="A146" s="2" t="s">
        <v>157</v>
      </c>
      <c r="B146" s="2" t="s">
        <v>102</v>
      </c>
      <c r="C146" s="2" t="n">
        <v>1</v>
      </c>
    </row>
    <row r="147" customFormat="false" ht="15" hidden="false" customHeight="false" outlineLevel="0" collapsed="false">
      <c r="A147" s="2" t="s">
        <v>157</v>
      </c>
      <c r="B147" s="2" t="s">
        <v>35</v>
      </c>
      <c r="C147" s="2" t="n">
        <v>1</v>
      </c>
    </row>
    <row r="148" customFormat="false" ht="15" hidden="false" customHeight="false" outlineLevel="0" collapsed="false">
      <c r="A148" s="2" t="s">
        <v>157</v>
      </c>
      <c r="B148" s="2" t="s">
        <v>94</v>
      </c>
      <c r="C148" s="2" t="n">
        <v>1</v>
      </c>
    </row>
    <row r="149" customFormat="false" ht="15" hidden="false" customHeight="false" outlineLevel="0" collapsed="false">
      <c r="A149" s="2" t="s">
        <v>157</v>
      </c>
      <c r="B149" s="2" t="s">
        <v>111</v>
      </c>
      <c r="C149" s="2" t="n">
        <v>1</v>
      </c>
    </row>
    <row r="150" customFormat="false" ht="15" hidden="false" customHeight="false" outlineLevel="0" collapsed="false">
      <c r="A150" s="2" t="s">
        <v>157</v>
      </c>
      <c r="B150" s="2" t="s">
        <v>38</v>
      </c>
      <c r="C150" s="2" t="n">
        <v>1</v>
      </c>
    </row>
    <row r="151" customFormat="false" ht="15" hidden="false" customHeight="false" outlineLevel="0" collapsed="false">
      <c r="A151" s="2" t="s">
        <v>157</v>
      </c>
      <c r="B151" s="2" t="s">
        <v>40</v>
      </c>
      <c r="C151" s="2" t="n">
        <v>1</v>
      </c>
    </row>
    <row r="152" customFormat="false" ht="15" hidden="false" customHeight="false" outlineLevel="0" collapsed="false">
      <c r="A152" s="2" t="s">
        <v>157</v>
      </c>
      <c r="B152" s="2" t="s">
        <v>82</v>
      </c>
      <c r="C152" s="2" t="n">
        <v>1</v>
      </c>
    </row>
    <row r="153" customFormat="false" ht="15" hidden="false" customHeight="false" outlineLevel="0" collapsed="false">
      <c r="A153" s="2" t="s">
        <v>157</v>
      </c>
      <c r="B153" s="2" t="s">
        <v>84</v>
      </c>
      <c r="C153" s="2" t="n">
        <v>1</v>
      </c>
    </row>
    <row r="154" customFormat="false" ht="15" hidden="false" customHeight="false" outlineLevel="0" collapsed="false">
      <c r="A154" s="2" t="s">
        <v>159</v>
      </c>
      <c r="B154" s="2" t="s">
        <v>161</v>
      </c>
      <c r="C154" s="2" t="n">
        <v>1</v>
      </c>
    </row>
    <row r="155" customFormat="false" ht="15" hidden="false" customHeight="false" outlineLevel="0" collapsed="false">
      <c r="A155" s="2" t="s">
        <v>159</v>
      </c>
      <c r="B155" s="2" t="s">
        <v>163</v>
      </c>
      <c r="C155" s="2" t="n">
        <v>1</v>
      </c>
    </row>
    <row r="156" customFormat="false" ht="15" hidden="false" customHeight="false" outlineLevel="0" collapsed="false">
      <c r="A156" s="2" t="s">
        <v>159</v>
      </c>
      <c r="B156" s="2" t="s">
        <v>165</v>
      </c>
      <c r="C156" s="2" t="n">
        <v>1</v>
      </c>
    </row>
    <row r="157" customFormat="false" ht="15" hidden="false" customHeight="false" outlineLevel="0" collapsed="false">
      <c r="A157" s="2" t="s">
        <v>159</v>
      </c>
      <c r="B157" s="2" t="s">
        <v>167</v>
      </c>
      <c r="C157" s="2" t="n">
        <v>1</v>
      </c>
    </row>
    <row r="158" customFormat="false" ht="15" hidden="false" customHeight="false" outlineLevel="0" collapsed="false">
      <c r="A158" s="2" t="s">
        <v>159</v>
      </c>
      <c r="B158" s="2" t="s">
        <v>38</v>
      </c>
      <c r="C158" s="2" t="n">
        <v>1</v>
      </c>
    </row>
    <row r="159" customFormat="false" ht="15" hidden="false" customHeight="false" outlineLevel="0" collapsed="false">
      <c r="A159" s="2" t="s">
        <v>159</v>
      </c>
      <c r="B159" s="2" t="s">
        <v>40</v>
      </c>
      <c r="C159" s="2" t="n">
        <v>1</v>
      </c>
    </row>
    <row r="160" customFormat="false" ht="15" hidden="false" customHeight="false" outlineLevel="0" collapsed="false">
      <c r="A160" s="2" t="s">
        <v>159</v>
      </c>
      <c r="B160" s="2" t="s">
        <v>42</v>
      </c>
      <c r="C160" s="2" t="n">
        <v>1</v>
      </c>
    </row>
    <row r="161" customFormat="false" ht="15" hidden="false" customHeight="false" outlineLevel="0" collapsed="false">
      <c r="A161" s="2" t="s">
        <v>159</v>
      </c>
      <c r="B161" s="2" t="s">
        <v>44</v>
      </c>
      <c r="C161" s="2" t="n">
        <v>1</v>
      </c>
    </row>
    <row r="162" customFormat="false" ht="15" hidden="false" customHeight="false" outlineLevel="0" collapsed="false">
      <c r="A162" s="2" t="s">
        <v>169</v>
      </c>
      <c r="B162" s="2" t="s">
        <v>60</v>
      </c>
      <c r="C162" s="2" t="n">
        <v>1</v>
      </c>
    </row>
    <row r="163" customFormat="false" ht="15" hidden="false" customHeight="false" outlineLevel="0" collapsed="false">
      <c r="A163" s="2" t="s">
        <v>169</v>
      </c>
      <c r="B163" s="2" t="s">
        <v>54</v>
      </c>
      <c r="C163" s="2" t="n">
        <v>1</v>
      </c>
    </row>
    <row r="164" customFormat="false" ht="15" hidden="false" customHeight="false" outlineLevel="0" collapsed="false">
      <c r="A164" s="2" t="s">
        <v>169</v>
      </c>
      <c r="B164" s="2" t="s">
        <v>163</v>
      </c>
      <c r="C164" s="2" t="n">
        <v>1</v>
      </c>
    </row>
    <row r="165" customFormat="false" ht="15" hidden="false" customHeight="false" outlineLevel="0" collapsed="false">
      <c r="A165" s="2" t="s">
        <v>169</v>
      </c>
      <c r="B165" s="2" t="s">
        <v>35</v>
      </c>
      <c r="C165" s="2" t="n">
        <v>1</v>
      </c>
    </row>
    <row r="166" customFormat="false" ht="15" hidden="false" customHeight="false" outlineLevel="0" collapsed="false">
      <c r="A166" s="2" t="s">
        <v>169</v>
      </c>
      <c r="B166" s="2" t="s">
        <v>38</v>
      </c>
      <c r="C166" s="2" t="n">
        <v>1</v>
      </c>
    </row>
    <row r="167" customFormat="false" ht="15" hidden="false" customHeight="false" outlineLevel="0" collapsed="false">
      <c r="A167" s="2" t="s">
        <v>169</v>
      </c>
      <c r="B167" s="2" t="s">
        <v>40</v>
      </c>
      <c r="C167" s="2" t="n">
        <v>1</v>
      </c>
    </row>
    <row r="168" customFormat="false" ht="15" hidden="false" customHeight="false" outlineLevel="0" collapsed="false">
      <c r="A168" s="2" t="s">
        <v>169</v>
      </c>
      <c r="B168" s="2" t="s">
        <v>42</v>
      </c>
      <c r="C168" s="2" t="n">
        <v>1</v>
      </c>
    </row>
    <row r="169" customFormat="false" ht="15" hidden="false" customHeight="false" outlineLevel="0" collapsed="false">
      <c r="A169" s="2" t="s">
        <v>169</v>
      </c>
      <c r="B169" s="2" t="s">
        <v>44</v>
      </c>
      <c r="C169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3" t="s">
        <v>11</v>
      </c>
      <c r="B1" s="3" t="s">
        <v>10</v>
      </c>
      <c r="C1" s="3" t="s">
        <v>12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174</v>
      </c>
      <c r="I1" s="3" t="s">
        <v>175</v>
      </c>
    </row>
    <row r="2" customFormat="false" ht="15" hidden="false" customHeight="false" outlineLevel="0" collapsed="false">
      <c r="A2" s="2" t="s">
        <v>21</v>
      </c>
      <c r="B2" s="2" t="s">
        <v>20</v>
      </c>
      <c r="C2" s="2" t="s">
        <v>22</v>
      </c>
      <c r="D2" s="6" t="n">
        <f aca="false">SUMIFS('Night Shift Master Bundles'!$I$2:$I$169,'Night Shift Master Bundles'!$B$2:$B$169,A2)</f>
        <v>21.66</v>
      </c>
      <c r="E2" s="2" t="n">
        <f aca="false">COUNTIFS('Night Shift Master Bundles'!$B$2:$B$169,A2,'Night Shift Master Bundles'!$H$2:$H$169,"")</f>
        <v>2</v>
      </c>
      <c r="F2" s="7" t="n">
        <v>0.6</v>
      </c>
      <c r="G2" s="6" t="str">
        <f aca="false">IF(E2&gt;0,"Fill costs first",IF(F2&gt;=1,"",CEILING(D2/(1-F2),1)-0.05))</f>
        <v>Fill costs first</v>
      </c>
      <c r="H2" s="8"/>
      <c r="I2" s="9" t="str">
        <f aca="false">IF(OR(H2="",H2=0),"",(H2-D2)/H2)</f>
        <v/>
      </c>
    </row>
    <row r="3" customFormat="false" ht="15" hidden="false" customHeight="false" outlineLevel="0" collapsed="false">
      <c r="A3" s="2" t="s">
        <v>45</v>
      </c>
      <c r="B3" s="2" t="s">
        <v>20</v>
      </c>
      <c r="C3" s="2" t="s">
        <v>46</v>
      </c>
      <c r="D3" s="6" t="n">
        <f aca="false">SUMIFS('Night Shift Master Bundles'!$I$2:$I$169,'Night Shift Master Bundles'!$B$2:$B$169,A3)</f>
        <v>29.44</v>
      </c>
      <c r="E3" s="2" t="n">
        <f aca="false">COUNTIFS('Night Shift Master Bundles'!$B$2:$B$169,A3,'Night Shift Master Bundles'!$H$2:$H$169,"")</f>
        <v>2</v>
      </c>
      <c r="F3" s="7" t="n">
        <v>0.6</v>
      </c>
      <c r="G3" s="6" t="str">
        <f aca="false">IF(E3&gt;0,"Fill costs first",IF(F3&gt;=1,"",CEILING(D3/(1-F3),1)-0.05))</f>
        <v>Fill costs first</v>
      </c>
      <c r="H3" s="8"/>
      <c r="I3" s="9" t="str">
        <f aca="false">IF(OR(H3="",H3=0),"",(H3-D3)/H3)</f>
        <v/>
      </c>
    </row>
    <row r="4" customFormat="false" ht="15" hidden="false" customHeight="false" outlineLevel="0" collapsed="false">
      <c r="A4" s="2" t="s">
        <v>50</v>
      </c>
      <c r="B4" s="2" t="s">
        <v>49</v>
      </c>
      <c r="C4" s="2" t="s">
        <v>22</v>
      </c>
      <c r="D4" s="6" t="n">
        <f aca="false">SUMIFS('Night Shift Master Bundles'!$I$2:$I$169,'Night Shift Master Bundles'!$B$2:$B$169,A4)</f>
        <v>25</v>
      </c>
      <c r="E4" s="2" t="n">
        <f aca="false">COUNTIFS('Night Shift Master Bundles'!$B$2:$B$169,A4,'Night Shift Master Bundles'!$H$2:$H$169,"")</f>
        <v>1</v>
      </c>
      <c r="F4" s="7" t="n">
        <v>0.6</v>
      </c>
      <c r="G4" s="6" t="str">
        <f aca="false">IF(E4&gt;0,"Fill costs first",IF(F4&gt;=1,"",CEILING(D4/(1-F4),1)-0.05))</f>
        <v>Fill costs first</v>
      </c>
      <c r="H4" s="8"/>
      <c r="I4" s="9" t="str">
        <f aca="false">IF(OR(H4="",H4=0),"",(H4-D4)/H4)</f>
        <v/>
      </c>
    </row>
    <row r="5" customFormat="false" ht="15" hidden="false" customHeight="false" outlineLevel="0" collapsed="false">
      <c r="A5" s="2" t="s">
        <v>61</v>
      </c>
      <c r="B5" s="2" t="s">
        <v>49</v>
      </c>
      <c r="C5" s="2" t="s">
        <v>62</v>
      </c>
      <c r="D5" s="6" t="n">
        <f aca="false">SUMIFS('Night Shift Master Bundles'!$I$2:$I$169,'Night Shift Master Bundles'!$B$2:$B$169,A5)</f>
        <v>37.08</v>
      </c>
      <c r="E5" s="2" t="n">
        <f aca="false">COUNTIFS('Night Shift Master Bundles'!$B$2:$B$169,A5,'Night Shift Master Bundles'!$H$2:$H$169,"")</f>
        <v>1</v>
      </c>
      <c r="F5" s="7" t="n">
        <v>0.6</v>
      </c>
      <c r="G5" s="6" t="str">
        <f aca="false">IF(E5&gt;0,"Fill costs first",IF(F5&gt;=1,"",CEILING(D5/(1-F5),1)-0.05))</f>
        <v>Fill costs first</v>
      </c>
      <c r="H5" s="8"/>
      <c r="I5" s="9" t="str">
        <f aca="false">IF(OR(H5="",H5=0),"",(H5-D5)/H5)</f>
        <v/>
      </c>
    </row>
    <row r="6" customFormat="false" ht="15" hidden="false" customHeight="false" outlineLevel="0" collapsed="false">
      <c r="A6" s="2" t="s">
        <v>66</v>
      </c>
      <c r="B6" s="2" t="s">
        <v>65</v>
      </c>
      <c r="C6" s="2" t="s">
        <v>67</v>
      </c>
      <c r="D6" s="6" t="n">
        <f aca="false">SUMIFS('Night Shift Master Bundles'!$I$2:$I$169,'Night Shift Master Bundles'!$B$2:$B$169,A6)</f>
        <v>13.57</v>
      </c>
      <c r="E6" s="2" t="n">
        <f aca="false">COUNTIFS('Night Shift Master Bundles'!$B$2:$B$169,A6,'Night Shift Master Bundles'!$H$2:$H$169,"")</f>
        <v>4</v>
      </c>
      <c r="F6" s="7" t="n">
        <v>0.6</v>
      </c>
      <c r="G6" s="6" t="str">
        <f aca="false">IF(E6&gt;0,"Fill costs first",IF(F6&gt;=1,"",CEILING(D6/(1-F6),1)-0.05))</f>
        <v>Fill costs first</v>
      </c>
      <c r="H6" s="8"/>
      <c r="I6" s="9" t="str">
        <f aca="false">IF(OR(H6="",H6=0),"",(H6-D6)/H6)</f>
        <v/>
      </c>
    </row>
    <row r="7" customFormat="false" ht="15" hidden="false" customHeight="false" outlineLevel="0" collapsed="false">
      <c r="A7" s="2" t="s">
        <v>86</v>
      </c>
      <c r="B7" s="2" t="s">
        <v>85</v>
      </c>
      <c r="C7" s="2" t="s">
        <v>67</v>
      </c>
      <c r="D7" s="6" t="n">
        <f aca="false">SUMIFS('Night Shift Master Bundles'!$I$2:$I$169,'Night Shift Master Bundles'!$B$2:$B$169,A7)</f>
        <v>14.99</v>
      </c>
      <c r="E7" s="2" t="n">
        <f aca="false">COUNTIFS('Night Shift Master Bundles'!$B$2:$B$169,A7,'Night Shift Master Bundles'!$H$2:$H$169,"")</f>
        <v>3</v>
      </c>
      <c r="F7" s="7" t="n">
        <v>0.6</v>
      </c>
      <c r="G7" s="6" t="str">
        <f aca="false">IF(E7&gt;0,"Fill costs first",IF(F7&gt;=1,"",CEILING(D7/(1-F7),1)-0.05))</f>
        <v>Fill costs first</v>
      </c>
      <c r="H7" s="8"/>
      <c r="I7" s="9" t="str">
        <f aca="false">IF(OR(H7="",H7=0),"",(H7-D7)/H7)</f>
        <v/>
      </c>
    </row>
    <row r="8" customFormat="false" ht="15" hidden="false" customHeight="false" outlineLevel="0" collapsed="false">
      <c r="A8" s="2" t="s">
        <v>96</v>
      </c>
      <c r="B8" s="2" t="s">
        <v>95</v>
      </c>
      <c r="C8" s="2" t="s">
        <v>67</v>
      </c>
      <c r="D8" s="6" t="n">
        <f aca="false">SUMIFS('Night Shift Master Bundles'!$I$2:$I$169,'Night Shift Master Bundles'!$B$2:$B$169,A8)</f>
        <v>15.39</v>
      </c>
      <c r="E8" s="2" t="n">
        <f aca="false">COUNTIFS('Night Shift Master Bundles'!$B$2:$B$169,A8,'Night Shift Master Bundles'!$H$2:$H$169,"")</f>
        <v>3</v>
      </c>
      <c r="F8" s="7" t="n">
        <v>0.6</v>
      </c>
      <c r="G8" s="6" t="str">
        <f aca="false">IF(E8&gt;0,"Fill costs first",IF(F8&gt;=1,"",CEILING(D8/(1-F8),1)-0.05))</f>
        <v>Fill costs first</v>
      </c>
      <c r="H8" s="8"/>
      <c r="I8" s="9" t="str">
        <f aca="false">IF(OR(H8="",H8=0),"",(H8-D8)/H8)</f>
        <v/>
      </c>
    </row>
    <row r="9" customFormat="false" ht="15" hidden="false" customHeight="false" outlineLevel="0" collapsed="false">
      <c r="A9" s="2" t="s">
        <v>104</v>
      </c>
      <c r="B9" s="2" t="s">
        <v>103</v>
      </c>
      <c r="C9" s="2" t="s">
        <v>22</v>
      </c>
      <c r="D9" s="6" t="n">
        <f aca="false">SUMIFS('Night Shift Master Bundles'!$I$2:$I$169,'Night Shift Master Bundles'!$B$2:$B$169,A9)</f>
        <v>25.99</v>
      </c>
      <c r="E9" s="2" t="n">
        <f aca="false">COUNTIFS('Night Shift Master Bundles'!$B$2:$B$169,A9,'Night Shift Master Bundles'!$H$2:$H$169,"")</f>
        <v>2</v>
      </c>
      <c r="F9" s="7" t="n">
        <v>0.6</v>
      </c>
      <c r="G9" s="6" t="str">
        <f aca="false">IF(E9&gt;0,"Fill costs first",IF(F9&gt;=1,"",CEILING(D9/(1-F9),1)-0.05))</f>
        <v>Fill costs first</v>
      </c>
      <c r="H9" s="8"/>
      <c r="I9" s="9" t="str">
        <f aca="false">IF(OR(H9="",H9=0),"",(H9-D9)/H9)</f>
        <v/>
      </c>
    </row>
    <row r="10" customFormat="false" ht="15" hidden="false" customHeight="false" outlineLevel="0" collapsed="false">
      <c r="A10" s="2" t="s">
        <v>115</v>
      </c>
      <c r="B10" s="2" t="s">
        <v>103</v>
      </c>
      <c r="C10" s="2" t="s">
        <v>116</v>
      </c>
      <c r="D10" s="6" t="n">
        <f aca="false">SUMIFS('Night Shift Master Bundles'!$I$2:$I$169,'Night Shift Master Bundles'!$B$2:$B$169,A10)</f>
        <v>25.99</v>
      </c>
      <c r="E10" s="2" t="n">
        <f aca="false">COUNTIFS('Night Shift Master Bundles'!$B$2:$B$169,A10,'Night Shift Master Bundles'!$H$2:$H$169,"")</f>
        <v>2</v>
      </c>
      <c r="F10" s="7" t="n">
        <v>0.6</v>
      </c>
      <c r="G10" s="6" t="str">
        <f aca="false">IF(E10&gt;0,"Fill costs first",IF(F10&gt;=1,"",CEILING(D10/(1-F10),1)-0.05))</f>
        <v>Fill costs first</v>
      </c>
      <c r="H10" s="8"/>
      <c r="I10" s="9" t="str">
        <f aca="false">IF(OR(H10="",H10=0),"",(H10-D10)/H10)</f>
        <v/>
      </c>
    </row>
    <row r="11" customFormat="false" ht="15" hidden="false" customHeight="false" outlineLevel="0" collapsed="false">
      <c r="A11" s="2" t="s">
        <v>120</v>
      </c>
      <c r="B11" s="2" t="s">
        <v>119</v>
      </c>
      <c r="C11" s="2" t="s">
        <v>22</v>
      </c>
      <c r="D11" s="6" t="n">
        <f aca="false">SUMIFS('Night Shift Master Bundles'!$I$2:$I$169,'Night Shift Master Bundles'!$B$2:$B$169,A11)</f>
        <v>15.18</v>
      </c>
      <c r="E11" s="2" t="n">
        <f aca="false">COUNTIFS('Night Shift Master Bundles'!$B$2:$B$169,A11,'Night Shift Master Bundles'!$H$2:$H$169,"")</f>
        <v>0</v>
      </c>
      <c r="F11" s="7" t="n">
        <v>0.6</v>
      </c>
      <c r="G11" s="6" t="n">
        <f aca="false">IF(E11&gt;0,"Fill costs first",IF(F11&gt;=1,"",CEILING(D11/(1-F11),1)-0.05))</f>
        <v>37.95</v>
      </c>
      <c r="H11" s="8"/>
      <c r="I11" s="9" t="str">
        <f aca="false">IF(OR(H11="",H11=0),"",(H11-D11)/H11)</f>
        <v/>
      </c>
    </row>
    <row r="12" customFormat="false" ht="15" hidden="false" customHeight="false" outlineLevel="0" collapsed="false">
      <c r="A12" s="2" t="s">
        <v>128</v>
      </c>
      <c r="B12" s="2" t="s">
        <v>119</v>
      </c>
      <c r="C12" s="2" t="s">
        <v>129</v>
      </c>
      <c r="D12" s="6" t="n">
        <f aca="false">SUMIFS('Night Shift Master Bundles'!$I$2:$I$169,'Night Shift Master Bundles'!$B$2:$B$169,A12)</f>
        <v>12.08</v>
      </c>
      <c r="E12" s="2" t="n">
        <f aca="false">COUNTIFS('Night Shift Master Bundles'!$B$2:$B$169,A12,'Night Shift Master Bundles'!$H$2:$H$169,"")</f>
        <v>1</v>
      </c>
      <c r="F12" s="7" t="n">
        <v>0.6</v>
      </c>
      <c r="G12" s="6" t="str">
        <f aca="false">IF(E12&gt;0,"Fill costs first",IF(F12&gt;=1,"",CEILING(D12/(1-F12),1)-0.05))</f>
        <v>Fill costs first</v>
      </c>
      <c r="H12" s="8"/>
      <c r="I12" s="9" t="str">
        <f aca="false">IF(OR(H12="",H12=0),"",(H12-D12)/H12)</f>
        <v/>
      </c>
    </row>
    <row r="13" customFormat="false" ht="15" hidden="false" customHeight="false" outlineLevel="0" collapsed="false">
      <c r="A13" s="2" t="s">
        <v>133</v>
      </c>
      <c r="B13" s="2" t="s">
        <v>132</v>
      </c>
      <c r="C13" s="2" t="s">
        <v>67</v>
      </c>
      <c r="D13" s="6" t="n">
        <f aca="false">SUMIFS('Night Shift Master Bundles'!$I$2:$I$169,'Night Shift Master Bundles'!$B$2:$B$169,A13)</f>
        <v>20.31</v>
      </c>
      <c r="E13" s="2" t="n">
        <f aca="false">COUNTIFS('Night Shift Master Bundles'!$B$2:$B$169,A13,'Night Shift Master Bundles'!$H$2:$H$169,"")</f>
        <v>1</v>
      </c>
      <c r="F13" s="7" t="n">
        <v>0.6</v>
      </c>
      <c r="G13" s="6" t="str">
        <f aca="false">IF(E13&gt;0,"Fill costs first",IF(F13&gt;=1,"",CEILING(D13/(1-F13),1)-0.05))</f>
        <v>Fill costs first</v>
      </c>
      <c r="H13" s="8"/>
      <c r="I13" s="9" t="str">
        <f aca="false">IF(OR(H13="",H13=0),"",(H13-D13)/H13)</f>
        <v/>
      </c>
    </row>
    <row r="14" customFormat="false" ht="15" hidden="false" customHeight="false" outlineLevel="0" collapsed="false">
      <c r="A14" s="2" t="s">
        <v>139</v>
      </c>
      <c r="B14" s="2" t="s">
        <v>138</v>
      </c>
      <c r="C14" s="2" t="s">
        <v>22</v>
      </c>
      <c r="D14" s="6" t="n">
        <f aca="false">SUMIFS('Night Shift Master Bundles'!$I$2:$I$169,'Night Shift Master Bundles'!$B$2:$B$169,A14)</f>
        <v>29.82</v>
      </c>
      <c r="E14" s="2" t="n">
        <f aca="false">COUNTIFS('Night Shift Master Bundles'!$B$2:$B$169,A14,'Night Shift Master Bundles'!$H$2:$H$169,"")</f>
        <v>1</v>
      </c>
      <c r="F14" s="7" t="n">
        <v>0.6</v>
      </c>
      <c r="G14" s="6" t="str">
        <f aca="false">IF(E14&gt;0,"Fill costs first",IF(F14&gt;=1,"",CEILING(D14/(1-F14),1)-0.05))</f>
        <v>Fill costs first</v>
      </c>
      <c r="H14" s="8"/>
      <c r="I14" s="9" t="str">
        <f aca="false">IF(OR(H14="",H14=0),"",(H14-D14)/H14)</f>
        <v/>
      </c>
    </row>
    <row r="15" customFormat="false" ht="15" hidden="false" customHeight="false" outlineLevel="0" collapsed="false">
      <c r="A15" s="2" t="s">
        <v>149</v>
      </c>
      <c r="B15" s="2" t="s">
        <v>138</v>
      </c>
      <c r="C15" s="2" t="s">
        <v>62</v>
      </c>
      <c r="D15" s="6" t="n">
        <f aca="false">SUMIFS('Night Shift Master Bundles'!$I$2:$I$169,'Night Shift Master Bundles'!$B$2:$B$169,A15)</f>
        <v>34.9</v>
      </c>
      <c r="E15" s="2" t="n">
        <f aca="false">COUNTIFS('Night Shift Master Bundles'!$B$2:$B$169,A15,'Night Shift Master Bundles'!$H$2:$H$169,"")</f>
        <v>1</v>
      </c>
      <c r="F15" s="7" t="n">
        <v>0.6</v>
      </c>
      <c r="G15" s="6" t="str">
        <f aca="false">IF(E15&gt;0,"Fill costs first",IF(F15&gt;=1,"",CEILING(D15/(1-F15),1)-0.05))</f>
        <v>Fill costs first</v>
      </c>
      <c r="H15" s="8"/>
      <c r="I15" s="9" t="str">
        <f aca="false">IF(OR(H15="",H15=0),"",(H15-D15)/H15)</f>
        <v/>
      </c>
    </row>
    <row r="16" customFormat="false" ht="15" hidden="false" customHeight="false" outlineLevel="0" collapsed="false">
      <c r="A16" s="2" t="s">
        <v>153</v>
      </c>
      <c r="B16" s="2" t="s">
        <v>152</v>
      </c>
      <c r="C16" s="2" t="s">
        <v>67</v>
      </c>
      <c r="D16" s="6" t="n">
        <f aca="false">SUMIFS('Night Shift Master Bundles'!$I$2:$I$169,'Night Shift Master Bundles'!$B$2:$B$169,A16)</f>
        <v>16.67</v>
      </c>
      <c r="E16" s="2" t="n">
        <f aca="false">COUNTIFS('Night Shift Master Bundles'!$B$2:$B$169,A16,'Night Shift Master Bundles'!$H$2:$H$169,"")</f>
        <v>1</v>
      </c>
      <c r="F16" s="7" t="n">
        <v>0.6</v>
      </c>
      <c r="G16" s="6" t="str">
        <f aca="false">IF(E16&gt;0,"Fill costs first",IF(F16&gt;=1,"",CEILING(D16/(1-F16),1)-0.05))</f>
        <v>Fill costs first</v>
      </c>
      <c r="H16" s="8"/>
      <c r="I16" s="9" t="str">
        <f aca="false">IF(OR(H16="",H16=0),"",(H16-D16)/H16)</f>
        <v/>
      </c>
    </row>
    <row r="17" customFormat="false" ht="15" hidden="false" customHeight="false" outlineLevel="0" collapsed="false">
      <c r="A17" s="2" t="s">
        <v>157</v>
      </c>
      <c r="B17" s="2" t="s">
        <v>156</v>
      </c>
      <c r="C17" s="2" t="s">
        <v>67</v>
      </c>
      <c r="D17" s="6" t="n">
        <f aca="false">SUMIFS('Night Shift Master Bundles'!$I$2:$I$169,'Night Shift Master Bundles'!$B$2:$B$169,A17)</f>
        <v>25.41</v>
      </c>
      <c r="E17" s="2" t="n">
        <f aca="false">COUNTIFS('Night Shift Master Bundles'!$B$2:$B$169,A17,'Night Shift Master Bundles'!$H$2:$H$169,"")</f>
        <v>0</v>
      </c>
      <c r="F17" s="7" t="n">
        <v>0.6</v>
      </c>
      <c r="G17" s="6" t="n">
        <f aca="false">IF(E17&gt;0,"Fill costs first",IF(F17&gt;=1,"",CEILING(D17/(1-F17),1)-0.05))</f>
        <v>63.95</v>
      </c>
      <c r="H17" s="8"/>
      <c r="I17" s="9" t="str">
        <f aca="false">IF(OR(H17="",H17=0),"",(H17-D17)/H17)</f>
        <v/>
      </c>
    </row>
    <row r="18" customFormat="false" ht="15" hidden="false" customHeight="false" outlineLevel="0" collapsed="false">
      <c r="A18" s="2" t="s">
        <v>159</v>
      </c>
      <c r="B18" s="2" t="s">
        <v>158</v>
      </c>
      <c r="C18" s="2" t="s">
        <v>67</v>
      </c>
      <c r="D18" s="6" t="n">
        <f aca="false">SUMIFS('Night Shift Master Bundles'!$I$2:$I$169,'Night Shift Master Bundles'!$B$2:$B$169,A18)</f>
        <v>23.37</v>
      </c>
      <c r="E18" s="2" t="n">
        <f aca="false">COUNTIFS('Night Shift Master Bundles'!$B$2:$B$169,A18,'Night Shift Master Bundles'!$H$2:$H$169,"")</f>
        <v>2</v>
      </c>
      <c r="F18" s="7" t="n">
        <v>0.6</v>
      </c>
      <c r="G18" s="6" t="str">
        <f aca="false">IF(E18&gt;0,"Fill costs first",IF(F18&gt;=1,"",CEILING(D18/(1-F18),1)-0.05))</f>
        <v>Fill costs first</v>
      </c>
      <c r="H18" s="8"/>
      <c r="I18" s="9" t="str">
        <f aca="false">IF(OR(H18="",H18=0),"",(H18-D18)/H18)</f>
        <v/>
      </c>
    </row>
    <row r="19" customFormat="false" ht="15" hidden="false" customHeight="false" outlineLevel="0" collapsed="false">
      <c r="A19" s="2" t="s">
        <v>169</v>
      </c>
      <c r="B19" s="2" t="s">
        <v>168</v>
      </c>
      <c r="C19" s="2" t="s">
        <v>67</v>
      </c>
      <c r="D19" s="6" t="n">
        <f aca="false">SUMIFS('Night Shift Master Bundles'!$I$2:$I$169,'Night Shift Master Bundles'!$B$2:$B$169,A19)</f>
        <v>24.76</v>
      </c>
      <c r="E19" s="2" t="n">
        <f aca="false">COUNTIFS('Night Shift Master Bundles'!$B$2:$B$169,A19,'Night Shift Master Bundles'!$H$2:$H$169,"")</f>
        <v>0</v>
      </c>
      <c r="F19" s="7" t="n">
        <v>0.6</v>
      </c>
      <c r="G19" s="6" t="n">
        <f aca="false">IF(E19&gt;0,"Fill costs first",IF(F19&gt;=1,"",CEILING(D19/(1-F19),1)-0.05))</f>
        <v>61.95</v>
      </c>
      <c r="H19" s="8"/>
      <c r="I19" s="9" t="str">
        <f aca="false">IF(OR(H19="",H19=0),"",(H19-D19)/H19)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3" t="s">
        <v>15</v>
      </c>
      <c r="B1" s="3" t="s">
        <v>14</v>
      </c>
      <c r="C1" s="3" t="s">
        <v>19</v>
      </c>
      <c r="D1" s="3" t="s">
        <v>176</v>
      </c>
      <c r="E1" s="3" t="s">
        <v>17</v>
      </c>
      <c r="F1" s="3" t="s">
        <v>177</v>
      </c>
    </row>
    <row r="2" customFormat="false" ht="15" hidden="false" customHeight="false" outlineLevel="0" collapsed="false">
      <c r="A2" s="2" t="s">
        <v>147</v>
      </c>
      <c r="B2" s="2" t="s">
        <v>146</v>
      </c>
      <c r="C2" s="2" t="s">
        <v>148</v>
      </c>
      <c r="D2" s="2" t="s">
        <v>178</v>
      </c>
      <c r="E2" s="8"/>
      <c r="F2" s="2" t="s">
        <v>179</v>
      </c>
    </row>
    <row r="3" customFormat="false" ht="15" hidden="false" customHeight="false" outlineLevel="0" collapsed="false">
      <c r="A3" s="2" t="s">
        <v>155</v>
      </c>
      <c r="B3" s="2" t="s">
        <v>154</v>
      </c>
      <c r="C3" s="2" t="s">
        <v>148</v>
      </c>
      <c r="D3" s="2" t="s">
        <v>153</v>
      </c>
      <c r="E3" s="8"/>
      <c r="F3" s="2" t="s">
        <v>179</v>
      </c>
    </row>
    <row r="4" customFormat="false" ht="15" hidden="false" customHeight="false" outlineLevel="0" collapsed="false">
      <c r="A4" s="2" t="s">
        <v>98</v>
      </c>
      <c r="B4" s="2" t="s">
        <v>97</v>
      </c>
      <c r="C4" s="2" t="s">
        <v>29</v>
      </c>
      <c r="D4" s="2" t="s">
        <v>96</v>
      </c>
      <c r="E4" s="8"/>
      <c r="F4" s="2"/>
    </row>
    <row r="5" customFormat="false" ht="15" hidden="false" customHeight="false" outlineLevel="0" collapsed="false">
      <c r="A5" s="2" t="s">
        <v>165</v>
      </c>
      <c r="B5" s="2" t="s">
        <v>164</v>
      </c>
      <c r="C5" s="2" t="s">
        <v>29</v>
      </c>
      <c r="D5" s="2" t="s">
        <v>159</v>
      </c>
      <c r="E5" s="8"/>
      <c r="F5" s="2"/>
    </row>
    <row r="6" customFormat="false" ht="15" hidden="false" customHeight="false" outlineLevel="0" collapsed="false">
      <c r="A6" s="2" t="s">
        <v>167</v>
      </c>
      <c r="B6" s="2" t="s">
        <v>166</v>
      </c>
      <c r="C6" s="2" t="s">
        <v>29</v>
      </c>
      <c r="D6" s="2" t="s">
        <v>159</v>
      </c>
      <c r="E6" s="8"/>
      <c r="F6" s="2"/>
    </row>
    <row r="7" customFormat="false" ht="15" hidden="false" customHeight="false" outlineLevel="0" collapsed="false">
      <c r="A7" s="2" t="s">
        <v>74</v>
      </c>
      <c r="B7" s="2" t="s">
        <v>73</v>
      </c>
      <c r="C7" s="2" t="s">
        <v>29</v>
      </c>
      <c r="D7" s="2" t="s">
        <v>66</v>
      </c>
      <c r="E7" s="8"/>
      <c r="F7" s="2"/>
    </row>
    <row r="8" customFormat="false" ht="15" hidden="false" customHeight="false" outlineLevel="0" collapsed="false">
      <c r="A8" s="2" t="s">
        <v>28</v>
      </c>
      <c r="B8" s="2" t="s">
        <v>27</v>
      </c>
      <c r="C8" s="2" t="s">
        <v>29</v>
      </c>
      <c r="D8" s="2" t="s">
        <v>180</v>
      </c>
      <c r="E8" s="8"/>
      <c r="F8" s="2"/>
    </row>
    <row r="9" customFormat="false" ht="15" hidden="false" customHeight="false" outlineLevel="0" collapsed="false">
      <c r="A9" s="2" t="s">
        <v>72</v>
      </c>
      <c r="B9" s="2" t="s">
        <v>71</v>
      </c>
      <c r="C9" s="2" t="s">
        <v>29</v>
      </c>
      <c r="D9" s="2" t="s">
        <v>66</v>
      </c>
      <c r="E9" s="8"/>
      <c r="F9" s="2"/>
    </row>
    <row r="10" customFormat="false" ht="15" hidden="false" customHeight="false" outlineLevel="0" collapsed="false">
      <c r="A10" s="2" t="s">
        <v>33</v>
      </c>
      <c r="B10" s="2" t="s">
        <v>32</v>
      </c>
      <c r="C10" s="2" t="s">
        <v>29</v>
      </c>
      <c r="D10" s="2" t="s">
        <v>180</v>
      </c>
      <c r="E10" s="8"/>
      <c r="F10" s="2"/>
    </row>
    <row r="11" customFormat="false" ht="15" hidden="false" customHeight="false" outlineLevel="0" collapsed="false">
      <c r="A11" s="2" t="s">
        <v>92</v>
      </c>
      <c r="B11" s="2" t="s">
        <v>91</v>
      </c>
      <c r="C11" s="2" t="s">
        <v>29</v>
      </c>
      <c r="D11" s="2" t="s">
        <v>86</v>
      </c>
      <c r="E11" s="8"/>
      <c r="F11" s="2"/>
    </row>
    <row r="12" customFormat="false" ht="15" hidden="false" customHeight="false" outlineLevel="0" collapsed="false">
      <c r="A12" s="2" t="s">
        <v>70</v>
      </c>
      <c r="B12" s="2" t="s">
        <v>69</v>
      </c>
      <c r="C12" s="2" t="s">
        <v>29</v>
      </c>
      <c r="D12" s="2" t="s">
        <v>66</v>
      </c>
      <c r="E12" s="8"/>
      <c r="F12" s="2"/>
    </row>
    <row r="13" customFormat="false" ht="15" hidden="false" customHeight="false" outlineLevel="0" collapsed="false">
      <c r="A13" s="2" t="s">
        <v>58</v>
      </c>
      <c r="B13" s="2" t="s">
        <v>57</v>
      </c>
      <c r="C13" s="2" t="s">
        <v>29</v>
      </c>
      <c r="D13" s="2" t="s">
        <v>181</v>
      </c>
      <c r="E13" s="8"/>
      <c r="F13" s="2"/>
    </row>
    <row r="14" customFormat="false" ht="15" hidden="false" customHeight="false" outlineLevel="0" collapsed="false">
      <c r="A14" s="2" t="s">
        <v>76</v>
      </c>
      <c r="B14" s="2" t="s">
        <v>75</v>
      </c>
      <c r="C14" s="2" t="s">
        <v>29</v>
      </c>
      <c r="D14" s="2" t="s">
        <v>182</v>
      </c>
      <c r="E14" s="8"/>
      <c r="F14" s="2"/>
    </row>
    <row r="15" customFormat="false" ht="15" hidden="false" customHeight="false" outlineLevel="0" collapsed="false">
      <c r="A15" s="2" t="s">
        <v>131</v>
      </c>
      <c r="B15" s="2" t="s">
        <v>130</v>
      </c>
      <c r="C15" s="2" t="s">
        <v>29</v>
      </c>
      <c r="D15" s="2" t="s">
        <v>128</v>
      </c>
      <c r="E15" s="8"/>
      <c r="F15" s="2"/>
    </row>
    <row r="16" customFormat="false" ht="15" hidden="false" customHeight="false" outlineLevel="0" collapsed="false">
      <c r="A16" s="2" t="s">
        <v>118</v>
      </c>
      <c r="B16" s="2" t="s">
        <v>117</v>
      </c>
      <c r="C16" s="2" t="s">
        <v>29</v>
      </c>
      <c r="D16" s="2" t="s">
        <v>115</v>
      </c>
      <c r="E16" s="8"/>
      <c r="F16" s="2"/>
    </row>
    <row r="17" customFormat="false" ht="15" hidden="false" customHeight="false" outlineLevel="0" collapsed="false">
      <c r="A17" s="2" t="s">
        <v>90</v>
      </c>
      <c r="B17" s="2" t="s">
        <v>89</v>
      </c>
      <c r="C17" s="2" t="s">
        <v>29</v>
      </c>
      <c r="D17" s="2" t="s">
        <v>86</v>
      </c>
      <c r="E17" s="8"/>
      <c r="F17" s="2"/>
    </row>
    <row r="18" customFormat="false" ht="15" hidden="false" customHeight="false" outlineLevel="0" collapsed="false">
      <c r="A18" s="2" t="s">
        <v>100</v>
      </c>
      <c r="B18" s="2" t="s">
        <v>99</v>
      </c>
      <c r="C18" s="2" t="s">
        <v>29</v>
      </c>
      <c r="D18" s="2" t="s">
        <v>96</v>
      </c>
      <c r="E18" s="8"/>
      <c r="F18" s="2"/>
    </row>
    <row r="19" customFormat="false" ht="15" hidden="false" customHeight="false" outlineLevel="0" collapsed="false">
      <c r="A19" s="2" t="s">
        <v>109</v>
      </c>
      <c r="B19" s="2" t="s">
        <v>108</v>
      </c>
      <c r="C19" s="2" t="s">
        <v>29</v>
      </c>
      <c r="D19" s="2" t="s">
        <v>104</v>
      </c>
      <c r="E19" s="8"/>
      <c r="F19" s="2"/>
    </row>
    <row r="20" customFormat="false" ht="15" hidden="false" customHeight="false" outlineLevel="0" collapsed="false">
      <c r="A20" s="2" t="s">
        <v>113</v>
      </c>
      <c r="B20" s="2" t="s">
        <v>112</v>
      </c>
      <c r="C20" s="2" t="s">
        <v>114</v>
      </c>
      <c r="D20" s="2" t="s">
        <v>183</v>
      </c>
      <c r="E20" s="8"/>
      <c r="F20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185</v>
      </c>
      <c r="B1" s="3" t="s">
        <v>186</v>
      </c>
    </row>
    <row r="2" customFormat="false" ht="23.85" hidden="false" customHeight="false" outlineLevel="0" collapsed="false">
      <c r="A2" s="10" t="s">
        <v>187</v>
      </c>
      <c r="B2" s="10" t="s">
        <v>188</v>
      </c>
    </row>
    <row r="3" customFormat="false" ht="23.85" hidden="false" customHeight="false" outlineLevel="0" collapsed="false">
      <c r="A3" s="10" t="s">
        <v>189</v>
      </c>
      <c r="B3" s="10" t="s">
        <v>190</v>
      </c>
    </row>
    <row r="4" customFormat="false" ht="15" hidden="false" customHeight="false" outlineLevel="0" collapsed="false">
      <c r="A4" s="10" t="s">
        <v>191</v>
      </c>
      <c r="B4" s="10" t="s">
        <v>192</v>
      </c>
    </row>
    <row r="5" customFormat="false" ht="15" hidden="false" customHeight="false" outlineLevel="0" collapsed="false">
      <c r="A5" s="10" t="s">
        <v>193</v>
      </c>
      <c r="B5" s="10" t="s">
        <v>194</v>
      </c>
    </row>
    <row r="6" customFormat="false" ht="15" hidden="false" customHeight="false" outlineLevel="0" collapsed="false">
      <c r="A6" s="10" t="s">
        <v>195</v>
      </c>
      <c r="B6" s="10" t="s">
        <v>196</v>
      </c>
    </row>
    <row r="7" customFormat="false" ht="15" hidden="false" customHeight="false" outlineLevel="0" collapsed="false">
      <c r="A7" s="10" t="s">
        <v>197</v>
      </c>
      <c r="B7" s="10" t="s">
        <v>198</v>
      </c>
    </row>
    <row r="8" customFormat="false" ht="15" hidden="false" customHeight="false" outlineLevel="0" collapsed="false">
      <c r="A8" s="10" t="s">
        <v>199</v>
      </c>
      <c r="B8" s="10" t="s">
        <v>200</v>
      </c>
    </row>
    <row r="9" customFormat="false" ht="15" hidden="false" customHeight="false" outlineLevel="0" collapsed="false">
      <c r="A9" s="10" t="s">
        <v>201</v>
      </c>
      <c r="B9" s="10" t="s">
        <v>202</v>
      </c>
    </row>
    <row r="10" customFormat="false" ht="15" hidden="false" customHeight="false" outlineLevel="0" collapsed="false">
      <c r="A10" s="10" t="s">
        <v>203</v>
      </c>
      <c r="B10" s="1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2026-09-16T22:22:25Z</dcterms:created>
  <dc:creator>openpyxl</dc:creator>
  <dc:description/>
  <dc:language>en-US</dc:language>
  <cp:lastModifiedBy/>
  <dcterms:modified xsi:type="dcterms:W3CDTF">2026-09-16T22:22:25Z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